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f23adc6c92d97707/Documents/Github Projects/"/>
    </mc:Choice>
  </mc:AlternateContent>
  <xr:revisionPtr revIDLastSave="3" documentId="13_ncr:1_{DEFED856-3806-43AA-946B-63CFCE83718A}" xr6:coauthVersionLast="47" xr6:coauthVersionMax="47" xr10:uidLastSave="{6B67D3E9-138A-40AA-917D-F0307890CDB8}"/>
  <bookViews>
    <workbookView xWindow="28680" yWindow="-120" windowWidth="29040" windowHeight="15720" tabRatio="500" xr2:uid="{00000000-000D-0000-FFFF-FFFF00000000}"/>
  </bookViews>
  <sheets>
    <sheet name="GRC Risk Register" sheetId="1" r:id="rId1"/>
    <sheet name="Roles &amp; Responsibilities" sheetId="2" r:id="rId2"/>
    <sheet name="Scoring Methodology" sheetId="3" r:id="rId3"/>
    <sheet name="Executive Dashboard" sheetId="4" r:id="rId4"/>
    <sheet name="Heat Map" sheetId="5" r:id="rId5"/>
  </sheets>
  <definedNames>
    <definedName name="_xlnm.Print_Titles" localSheetId="0">'GRC Risk Register'!$1:$5</definedName>
    <definedName name="ReportDate">DATE(2026,4,7)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6" i="1" l="1"/>
  <c r="I6" i="1"/>
  <c r="O6" i="1"/>
  <c r="P6" i="1" s="1"/>
  <c r="H7" i="1"/>
  <c r="I7" i="1"/>
  <c r="O7" i="1"/>
  <c r="P7" i="1"/>
  <c r="H8" i="1"/>
  <c r="I8" i="1"/>
  <c r="O8" i="1"/>
  <c r="F15" i="5" s="1"/>
  <c r="P8" i="1"/>
  <c r="G15" i="5" s="1"/>
  <c r="H9" i="1"/>
  <c r="I9" i="1" s="1"/>
  <c r="O9" i="1"/>
  <c r="P9" i="1" s="1"/>
  <c r="G16" i="5" s="1"/>
  <c r="H10" i="1"/>
  <c r="I10" i="1"/>
  <c r="O10" i="1"/>
  <c r="F17" i="5" s="1"/>
  <c r="P10" i="1"/>
  <c r="G17" i="5" s="1"/>
  <c r="H11" i="1"/>
  <c r="I11" i="1"/>
  <c r="O11" i="1"/>
  <c r="P11" i="1"/>
  <c r="G18" i="5" s="1"/>
  <c r="H12" i="1"/>
  <c r="I12" i="1"/>
  <c r="O12" i="1"/>
  <c r="P12" i="1" s="1"/>
  <c r="H13" i="1"/>
  <c r="I13" i="1"/>
  <c r="O13" i="1"/>
  <c r="F20" i="5" s="1"/>
  <c r="P13" i="1"/>
  <c r="H14" i="1"/>
  <c r="I14" i="1"/>
  <c r="O14" i="1"/>
  <c r="F21" i="5" s="1"/>
  <c r="P14" i="1"/>
  <c r="G21" i="5" s="1"/>
  <c r="H15" i="1"/>
  <c r="I15" i="1"/>
  <c r="O15" i="1"/>
  <c r="P15" i="1" s="1"/>
  <c r="H16" i="1"/>
  <c r="I16" i="1"/>
  <c r="O16" i="1"/>
  <c r="P16" i="1"/>
  <c r="H17" i="1"/>
  <c r="I17" i="1"/>
  <c r="O17" i="1"/>
  <c r="P17" i="1"/>
  <c r="H18" i="1"/>
  <c r="I18" i="1"/>
  <c r="O18" i="1"/>
  <c r="P18" i="1" s="1"/>
  <c r="H19" i="1"/>
  <c r="I19" i="1" s="1"/>
  <c r="O19" i="1"/>
  <c r="P19" i="1"/>
  <c r="H20" i="1"/>
  <c r="I20" i="1"/>
  <c r="O20" i="1"/>
  <c r="P20" i="1"/>
  <c r="E33" i="4"/>
  <c r="D33" i="4"/>
  <c r="C33" i="4"/>
  <c r="B33" i="4"/>
  <c r="E32" i="4"/>
  <c r="D32" i="4"/>
  <c r="C32" i="4"/>
  <c r="B32" i="4"/>
  <c r="E31" i="4"/>
  <c r="D31" i="4"/>
  <c r="C31" i="4"/>
  <c r="B31" i="4"/>
  <c r="E30" i="4"/>
  <c r="D30" i="4"/>
  <c r="C30" i="4"/>
  <c r="B30" i="4"/>
  <c r="E29" i="4"/>
  <c r="D29" i="4"/>
  <c r="C29" i="4"/>
  <c r="B29" i="4"/>
  <c r="E28" i="4"/>
  <c r="D28" i="4"/>
  <c r="C28" i="4"/>
  <c r="B28" i="4"/>
  <c r="B23" i="4"/>
  <c r="B22" i="4"/>
  <c r="B21" i="4"/>
  <c r="B20" i="4"/>
  <c r="B19" i="4"/>
  <c r="B18" i="4"/>
  <c r="B17" i="4"/>
  <c r="J9" i="4"/>
  <c r="G9" i="4"/>
  <c r="D9" i="4"/>
  <c r="A9" i="4"/>
  <c r="G5" i="4"/>
  <c r="A5" i="4"/>
  <c r="G24" i="5"/>
  <c r="F28" i="4"/>
  <c r="F22" i="5"/>
  <c r="F29" i="4"/>
  <c r="F27" i="5"/>
  <c r="E27" i="5"/>
  <c r="D27" i="5"/>
  <c r="C27" i="5"/>
  <c r="B27" i="5"/>
  <c r="A27" i="5"/>
  <c r="E26" i="5"/>
  <c r="D26" i="5"/>
  <c r="C26" i="5"/>
  <c r="B26" i="5"/>
  <c r="A26" i="5"/>
  <c r="E25" i="5"/>
  <c r="D25" i="5"/>
  <c r="C25" i="5"/>
  <c r="B25" i="5"/>
  <c r="A25" i="5"/>
  <c r="E24" i="5"/>
  <c r="D24" i="5"/>
  <c r="C24" i="5"/>
  <c r="B24" i="5"/>
  <c r="A24" i="5"/>
  <c r="F23" i="5"/>
  <c r="E23" i="5"/>
  <c r="D23" i="5"/>
  <c r="C23" i="5"/>
  <c r="B23" i="5"/>
  <c r="A23" i="5"/>
  <c r="E22" i="5"/>
  <c r="D22" i="5"/>
  <c r="C22" i="5"/>
  <c r="B22" i="5"/>
  <c r="A22" i="5"/>
  <c r="E21" i="5"/>
  <c r="D21" i="5"/>
  <c r="C21" i="5"/>
  <c r="B21" i="5"/>
  <c r="A21" i="5"/>
  <c r="E20" i="5"/>
  <c r="D20" i="5"/>
  <c r="C20" i="5"/>
  <c r="B20" i="5"/>
  <c r="A20" i="5"/>
  <c r="F19" i="5"/>
  <c r="E19" i="5"/>
  <c r="D19" i="5"/>
  <c r="C19" i="5"/>
  <c r="B19" i="5"/>
  <c r="A19" i="5"/>
  <c r="E18" i="5"/>
  <c r="D18" i="5"/>
  <c r="C18" i="5"/>
  <c r="B18" i="5"/>
  <c r="A18" i="5"/>
  <c r="E17" i="5"/>
  <c r="D17" i="5"/>
  <c r="C17" i="5"/>
  <c r="B17" i="5"/>
  <c r="A17" i="5"/>
  <c r="F16" i="5"/>
  <c r="E16" i="5"/>
  <c r="D16" i="5"/>
  <c r="C16" i="5"/>
  <c r="B16" i="5"/>
  <c r="A16" i="5"/>
  <c r="E15" i="5"/>
  <c r="D15" i="5"/>
  <c r="C15" i="5"/>
  <c r="B15" i="5"/>
  <c r="A15" i="5"/>
  <c r="E14" i="5"/>
  <c r="D14" i="5"/>
  <c r="C14" i="5"/>
  <c r="B14" i="5"/>
  <c r="A14" i="5"/>
  <c r="F13" i="5"/>
  <c r="E13" i="5"/>
  <c r="D13" i="5"/>
  <c r="C13" i="5"/>
  <c r="B13" i="5"/>
  <c r="A13" i="5"/>
  <c r="G9" i="5" a="1"/>
  <c r="G9" i="5" s="1"/>
  <c r="F9" i="5" a="1"/>
  <c r="F9" i="5" s="1"/>
  <c r="E9" i="5" a="1"/>
  <c r="E9" i="5" s="1"/>
  <c r="D9" i="5" a="1"/>
  <c r="D9" i="5" s="1"/>
  <c r="C9" i="5" a="1"/>
  <c r="C9" i="5" s="1"/>
  <c r="G8" i="5" a="1"/>
  <c r="G8" i="5" s="1"/>
  <c r="F8" i="5" a="1"/>
  <c r="F8" i="5" s="1"/>
  <c r="E8" i="5" a="1"/>
  <c r="E8" i="5" s="1"/>
  <c r="D8" i="5" a="1"/>
  <c r="D8" i="5" s="1"/>
  <c r="C8" i="5" a="1"/>
  <c r="C8" i="5" s="1"/>
  <c r="G7" i="5" a="1"/>
  <c r="G7" i="5" s="1"/>
  <c r="F7" i="5" a="1"/>
  <c r="F7" i="5" s="1"/>
  <c r="E7" i="5" a="1"/>
  <c r="E7" i="5" s="1"/>
  <c r="D7" i="5" a="1"/>
  <c r="D7" i="5" s="1"/>
  <c r="C7" i="5" a="1"/>
  <c r="C7" i="5" s="1"/>
  <c r="G6" i="5" a="1"/>
  <c r="G6" i="5" s="1"/>
  <c r="F6" i="5" a="1"/>
  <c r="F6" i="5" s="1"/>
  <c r="E6" i="5" a="1"/>
  <c r="E6" i="5" s="1"/>
  <c r="D6" i="5" a="1"/>
  <c r="D6" i="5" s="1"/>
  <c r="C6" i="5" a="1"/>
  <c r="C6" i="5" s="1"/>
  <c r="G5" i="5" a="1"/>
  <c r="G5" i="5" s="1"/>
  <c r="F5" i="5" a="1"/>
  <c r="F5" i="5" s="1"/>
  <c r="E5" i="5" a="1"/>
  <c r="E5" i="5" s="1"/>
  <c r="D5" i="5" a="1"/>
  <c r="D5" i="5" s="1"/>
  <c r="C5" i="5" a="1"/>
  <c r="C5" i="5" s="1"/>
  <c r="F25" i="5" l="1"/>
  <c r="F33" i="4"/>
  <c r="G19" i="5"/>
  <c r="F18" i="4"/>
  <c r="E18" i="4"/>
  <c r="G14" i="5"/>
  <c r="D18" i="4"/>
  <c r="C18" i="4"/>
  <c r="F23" i="4"/>
  <c r="E23" i="4"/>
  <c r="D23" i="4"/>
  <c r="G26" i="5"/>
  <c r="C23" i="4"/>
  <c r="E22" i="4"/>
  <c r="D22" i="4"/>
  <c r="G27" i="5"/>
  <c r="C22" i="4"/>
  <c r="F22" i="4"/>
  <c r="F24" i="5"/>
  <c r="F31" i="4"/>
  <c r="F14" i="5"/>
  <c r="F26" i="5"/>
  <c r="G22" i="5"/>
  <c r="J5" i="4"/>
  <c r="F18" i="5"/>
  <c r="G20" i="5"/>
  <c r="F32" i="4"/>
  <c r="F30" i="4"/>
  <c r="C19" i="4" l="1"/>
  <c r="C20" i="4"/>
  <c r="G23" i="5"/>
  <c r="F20" i="4"/>
  <c r="E20" i="4"/>
  <c r="D20" i="4"/>
  <c r="G25" i="5"/>
  <c r="F21" i="4"/>
  <c r="E21" i="4"/>
  <c r="D21" i="4"/>
  <c r="C21" i="4"/>
  <c r="D19" i="4"/>
  <c r="E19" i="4"/>
  <c r="F17" i="4"/>
  <c r="E17" i="4"/>
  <c r="D17" i="4"/>
  <c r="C17" i="4"/>
  <c r="G13" i="5"/>
  <c r="D5" i="4"/>
  <c r="F19" i="4"/>
</calcChain>
</file>

<file path=xl/sharedStrings.xml><?xml version="1.0" encoding="utf-8"?>
<sst xmlns="http://schemas.openxmlformats.org/spreadsheetml/2006/main" count="597" uniqueCount="310">
  <si>
    <t>Risk Prioritisation — Heat Map</t>
  </si>
  <si>
    <t>← MORE CONTROLLED      VULNERABILITY / LIKELIHOOD      LESS CONTROLLED →</t>
  </si>
  <si>
    <t>IMPACT  ↑</t>
  </si>
  <si>
    <t>5 – Catastrophic</t>
  </si>
  <si>
    <t>RISK RATING LEGEND</t>
  </si>
  <si>
    <t>4 – Major</t>
  </si>
  <si>
    <t>HIGH</t>
  </si>
  <si>
    <t>Residual score 12–19</t>
  </si>
  <si>
    <t>3 – Moderate</t>
  </si>
  <si>
    <t>Escalate to CRO. Active remediation.</t>
  </si>
  <si>
    <t>2 – Minor</t>
  </si>
  <si>
    <t>MEDIUM</t>
  </si>
  <si>
    <t>Residual score 6–11</t>
  </si>
  <si>
    <t>1 – Negligible</t>
  </si>
  <si>
    <t>Owner assigned. Quarterly monitoring.</t>
  </si>
  <si>
    <t>1 – Rare</t>
  </si>
  <si>
    <t>2 – Unlikely</t>
  </si>
  <si>
    <t>3 – Possible</t>
  </si>
  <si>
    <t>4 – Likely</t>
  </si>
  <si>
    <t>5 – Almost Certain</t>
  </si>
  <si>
    <t>LOW</t>
  </si>
  <si>
    <t>Residual score 2–5</t>
  </si>
  <si>
    <t>RISK INDEX</t>
  </si>
  <si>
    <t>Accept or treat. Annual review.</t>
  </si>
  <si>
    <t>Risk ID</t>
  </si>
  <si>
    <t>Risk Title</t>
  </si>
  <si>
    <t>Domain</t>
  </si>
  <si>
    <t>Res. Likelihood</t>
  </si>
  <si>
    <t>Res. Impact</t>
  </si>
  <si>
    <t>Residual Score</t>
  </si>
  <si>
    <t>Rating</t>
  </si>
  <si>
    <t>RISK IDENTIFICATION</t>
  </si>
  <si>
    <t>DOMAIN &amp; OWNERSHIP</t>
  </si>
  <si>
    <t>INHERENT RISK ← AUTO</t>
  </si>
  <si>
    <t>CONTROL ENVIRONMENT</t>
  </si>
  <si>
    <t>RESIDUAL RISK ← AUTO</t>
  </si>
  <si>
    <t>TREATMENT &amp; TRACKING</t>
  </si>
  <si>
    <t>AUDIT / REVIEW</t>
  </si>
  <si>
    <t>Risk Description</t>
  </si>
  <si>
    <t>Risk Domain</t>
  </si>
  <si>
    <t>Risk Owner
(Role)</t>
  </si>
  <si>
    <t>Likelihood
(1–5)</t>
  </si>
  <si>
    <t>Impact
(1–5)</t>
  </si>
  <si>
    <t>Inherent
Score ⚡</t>
  </si>
  <si>
    <t>Inherent
Rating ⚡</t>
  </si>
  <si>
    <t>Control
Description</t>
  </si>
  <si>
    <t>Control
Effectiveness</t>
  </si>
  <si>
    <t>Control
Owner (Role)</t>
  </si>
  <si>
    <t>Residual
Likelihood</t>
  </si>
  <si>
    <t>Residual
Impact</t>
  </si>
  <si>
    <t>Residual
Score ⚡</t>
  </si>
  <si>
    <t>Residual
Rating ⚡</t>
  </si>
  <si>
    <t>Treatment
Action</t>
  </si>
  <si>
    <t>Accountable
Role</t>
  </si>
  <si>
    <t>Target
Date</t>
  </si>
  <si>
    <t>Last Review
Date</t>
  </si>
  <si>
    <t>Review
Status</t>
  </si>
  <si>
    <t>TC-001</t>
  </si>
  <si>
    <t>Inadequate Enterprise Risk Governance</t>
  </si>
  <si>
    <t>No formal ERM framework means risks are managed in silos, creating blind spots and delayed executive response.</t>
  </si>
  <si>
    <t>Governance</t>
  </si>
  <si>
    <t>Strategic</t>
  </si>
  <si>
    <t>Chief Risk Officer (CRO)</t>
  </si>
  <si>
    <t>Risk committee established; quarterly risk reporting; risk appetite statement drafted.</t>
  </si>
  <si>
    <t>Basic</t>
  </si>
  <si>
    <t>Formalise ERM framework; appoint risk champions per business unit; launch risk culture survey.</t>
  </si>
  <si>
    <t>In Progress</t>
  </si>
  <si>
    <t>TC-002</t>
  </si>
  <si>
    <t>Cloud Infrastructure Failure</t>
  </si>
  <si>
    <t>Outage of primary cloud provider (AWS/Azure/GCP) causes platform downtime, SLA breach and revenue loss.</t>
  </si>
  <si>
    <t>Information Technology</t>
  </si>
  <si>
    <t>IT Director</t>
  </si>
  <si>
    <t>Multi-AZ deployment; automated failover; 99.9% SLA with cloud provider; monthly DR tests.</t>
  </si>
  <si>
    <t>Strong</t>
  </si>
  <si>
    <t>Implement multi-region active-active architecture; quarterly failover drills; chaos engineering.</t>
  </si>
  <si>
    <t>TC-003</t>
  </si>
  <si>
    <t>Software Supply Chain Attack</t>
  </si>
  <si>
    <t>Malicious code injected into open-source dependencies or CI/CD pipeline compromises production systems.</t>
  </si>
  <si>
    <t>Chief Information Security Officer (CISO)</t>
  </si>
  <si>
    <t>SBOM generated for major releases; Dependabot alerts active; SCA tooling in CI pipeline.</t>
  </si>
  <si>
    <t>Adequate</t>
  </si>
  <si>
    <t>Mandate SBOM for all releases; deploy Sigstore signing; conduct supply chain risk assessment.</t>
  </si>
  <si>
    <t>Open</t>
  </si>
  <si>
    <t>TC-004</t>
  </si>
  <si>
    <t>Zero-Day Vulnerability Exploitation</t>
  </si>
  <si>
    <t>Unknown vulnerability in product or infrastructure exploited before patch available, causing data breach.</t>
  </si>
  <si>
    <t>Bug bounty programme active; WAF deployed; 24/7 SIEM monitoring; threat intelligence feeds.</t>
  </si>
  <si>
    <t>Reduce mean time to detect to &lt;4hrs; integrate threat intel into SOAR; expand bug bounty scope.</t>
  </si>
  <si>
    <t>TC-005</t>
  </si>
  <si>
    <t>Customer Data Breach (GDPR/CCPA)</t>
  </si>
  <si>
    <t>Unauthorised access to customer PII triggers regulatory fines, customer churn and reputational damage.</t>
  </si>
  <si>
    <t>Data Protection Officer (DPO)</t>
  </si>
  <si>
    <t>Encryption at rest &amp; in transit; RBAC enforced; DLP tooling deployed; DPO appointed.</t>
  </si>
  <si>
    <t>Implement data discovery &amp; classification; complete Article 30 records; conduct DPIA for AI features.</t>
  </si>
  <si>
    <t>TC-006</t>
  </si>
  <si>
    <t>Privileged Access &amp; Insider Threat</t>
  </si>
  <si>
    <t>Excessive or unchecked privileged access exploited by insiders or compromised admin accounts.</t>
  </si>
  <si>
    <t>PAM solution deployed for 70% of critical systems; MFA enforced for all admin accounts.</t>
  </si>
  <si>
    <t>Full PAM rollout; enforce JIT access; complete quarterly privileged access reviews.</t>
  </si>
  <si>
    <t>TC-007</t>
  </si>
  <si>
    <t>Developer Talent Attrition</t>
  </si>
  <si>
    <t>Loss of senior engineers and scarce AI/ML talent to competitors disrupts product roadmap and innovation capacity.</t>
  </si>
  <si>
    <t>Human Resources</t>
  </si>
  <si>
    <t>Chief People Officer (CPO)</t>
  </si>
  <si>
    <t>Retention bonuses for key engineers; career ladder framework; quarterly engagement surveys.</t>
  </si>
  <si>
    <t>Introduce technical career progression tracks; publish engineering brand externally; benchmark comp annually.</t>
  </si>
  <si>
    <t>TC-008</t>
  </si>
  <si>
    <t>AI / ML Skills Gap</t>
  </si>
  <si>
    <t>Inability to hire or upskill staff in generative AI, MLOps and data science limits product competitiveness.</t>
  </si>
  <si>
    <t>Learning budget of £3K/head; partnerships with 2 universities; internal AI guild active.</t>
  </si>
  <si>
    <t>Launch AI upskilling programme; partner with bootcamps; establish internal AI Centre of Excellence.</t>
  </si>
  <si>
    <t>TC-009</t>
  </si>
  <si>
    <t>Remote Work Security &amp; Culture Risk</t>
  </si>
  <si>
    <t>Distributed workforce increases insider threat surface, erodes culture and creates inconsistent security practices.</t>
  </si>
  <si>
    <t>Security awareness training bi-annually; VPN mandated; endpoint management (MDM) in place.</t>
  </si>
  <si>
    <t>Annual phishing simulation; mandatory device compliance check; introduce culture measurement framework.</t>
  </si>
  <si>
    <t>TC-010</t>
  </si>
  <si>
    <t>Diversity, Equity &amp; Inclusion (DEI) Compliance</t>
  </si>
  <si>
    <t>Failure to meet gender pay gap reporting obligations or DEI targets triggers reputational damage and talent risks.</t>
  </si>
  <si>
    <t>Annual gender pay gap report published; D&amp;I committee active; unconscious bias training mandatory.</t>
  </si>
  <si>
    <t>Set measurable DEI targets; publish progress quarterly; integrate DEI into exec scorecards.</t>
  </si>
  <si>
    <t>TC-011</t>
  </si>
  <si>
    <t>Critical Product Defect / Outage</t>
  </si>
  <si>
    <t>Severe bug in production release causes customer data loss, SLA breach or platform-wide outage.</t>
  </si>
  <si>
    <t>Product &amp; Engineering</t>
  </si>
  <si>
    <t>Chief Technology Officer (CTO)</t>
  </si>
  <si>
    <t>Automated test coverage &gt;80%; staged rollout (canary); on-call SRE rotation; incident runbooks.</t>
  </si>
  <si>
    <t>Increase test coverage to 90%; implement chaos engineering; reduce MTTR to &lt;1hr.</t>
  </si>
  <si>
    <t>TC-012</t>
  </si>
  <si>
    <t>Intellectual Property Theft</t>
  </si>
  <si>
    <t>Theft of proprietary algorithms, source code or trade secrets by competitors or nation-state actors.</t>
  </si>
  <si>
    <t>Code repository access controls; DLP on email/USB; NDA for all employees and contractors.</t>
  </si>
  <si>
    <t>Deploy UEBA for anomalous code access; conduct IP risk assessment; strengthen contractor controls.</t>
  </si>
  <si>
    <t>TC-013</t>
  </si>
  <si>
    <t>SOC 2 / ISO 27001 Certification Lapse</t>
  </si>
  <si>
    <t>Failure to maintain security certifications leads to loss of enterprise customer contracts and procurement disqualification.</t>
  </si>
  <si>
    <t>Compliance</t>
  </si>
  <si>
    <t>Chief Compliance Officer (CCO)</t>
  </si>
  <si>
    <t>SOC 2 Type II achieved; ISO 27001 surveillance audit scheduled; compliance calendar maintained.</t>
  </si>
  <si>
    <t>Automate evidence collection; maintain continuous compliance posture; schedule Type II renewal 6 months ahead.</t>
  </si>
  <si>
    <t>Closed</t>
  </si>
  <si>
    <t>TC-014</t>
  </si>
  <si>
    <t>Disruptive Competitor / Technology Obsolescence</t>
  </si>
  <si>
    <t>Rapid emergence of a competing platform or paradigm shift (e.g. AI-native tools) erodes market share.</t>
  </si>
  <si>
    <t>Chief Executive Officer (CEO)</t>
  </si>
  <si>
    <t>Quarterly competitive landscape review; R&amp;D budget at 15% of revenue; innovation sprint cycles.</t>
  </si>
  <si>
    <t>Establish innovation lab; conduct annual technology horizon scanning; develop AI product roadmap.</t>
  </si>
  <si>
    <t>TC-015</t>
  </si>
  <si>
    <t>Revenue Concentration Risk</t>
  </si>
  <si>
    <t>Over-reliance on top-3 customers (&gt;50% ARR) creates existential risk if any customer churns.</t>
  </si>
  <si>
    <t>Financial</t>
  </si>
  <si>
    <t>Chief Financial Officer (CFO)</t>
  </si>
  <si>
    <t>Customer success programme; churn early-warning model; NPS tracking monthly.</t>
  </si>
  <si>
    <t>Diversify customer base; set concentration limit policy (no single customer &gt;20% ARR).</t>
  </si>
  <si>
    <t>⚡  Inherent Score (I) = Likelihood × Impact  |  Inherent Rating (J) auto-derived from Score  |  Residual Score (P) = Residual Likelihood × Residual Impact  |  Residual Rating (Q) auto-derived — change any input and all scores update instantly</t>
  </si>
  <si>
    <t>GRC ROLES &amp; RESPONSIBILITIES — RACI MATRIX</t>
  </si>
  <si>
    <t>R = Responsible   A = Accountable   C = Consulted   I = Informed</t>
  </si>
  <si>
    <t>ROLE PROFILES</t>
  </si>
  <si>
    <t>Role</t>
  </si>
  <si>
    <t>Description</t>
  </si>
  <si>
    <t>Key Responsibilities</t>
  </si>
  <si>
    <t>Chief Executive Officer
(CEO)</t>
  </si>
  <si>
    <t>Sets strategic direction, risk appetite and innovation culture. Accountable to the Board for company performance and ESG.</t>
  </si>
  <si>
    <t>• Strategic risk decision-making
• Board &amp; investor risk communication
• Innovation &amp; competitive strategy
• ESG &amp; sustainability leadership
• M&amp;A oversight
• Crisis leadership</t>
  </si>
  <si>
    <t>Chief Technology Officer
(CTO)</t>
  </si>
  <si>
    <t>Owns product engineering, platform reliability, technical architecture and AI/ML strategy.</t>
  </si>
  <si>
    <t>• Product engineering &amp; SRE
• Technical architecture decisions
• Platform reliability &amp; SLA
• AI/ML product strategy
• Tech debt &amp; legacy management
• Engineering team leadership</t>
  </si>
  <si>
    <t>Chief Risk Officer
(CRO)</t>
  </si>
  <si>
    <t>Owns enterprise risk management framework. Provides risk oversight across technology, financial and operational domains.</t>
  </si>
  <si>
    <t>• ERM framework design
• Risk appetite &amp; register maintenance
• Board risk reporting
• Third-party &amp; supply chain risk
• Cyber risk governance
• Emerging risk horizon scanning</t>
  </si>
  <si>
    <t>Chief Information Security Officer
(CISO)</t>
  </si>
  <si>
    <t>Accountable for information security strategy, product security, cloud security and incident response.</t>
  </si>
  <si>
    <t>• Cyber risk &amp; threat management
• Security architecture &amp; standards
• SOC 2 / ISO 27001 compliance
• Incident response &amp; BCDR
• Vendor security due diligence
• Security awareness programme</t>
  </si>
  <si>
    <t>Chief People Officer
(CPO)</t>
  </si>
  <si>
    <t>Responsible for talent acquisition, retention, DEI, remote workforce culture and HR compliance.</t>
  </si>
  <si>
    <t>• Talent acquisition &amp; retention strategy
• DEI programme &amp; gender pay reporting
• Remote work policy &amp; culture
• Learning &amp; development (AI upskilling)
• HR compliance &amp; employment law
• Succession planning</t>
  </si>
  <si>
    <t>Chief Financial Officer
(CFO)</t>
  </si>
  <si>
    <t>Owns financial risk including revenue concentration, fraud, liquidity and financial regulatory compliance.</t>
  </si>
  <si>
    <t>• Revenue concentration monitoring
• Financial controls &amp; audit
• Fraud risk management
• Budget &amp; forecasting
• Investor reporting
• Financial regulatory compliance</t>
  </si>
  <si>
    <t>Chief Compliance Officer
(CCO)</t>
  </si>
  <si>
    <t>Manages regulatory compliance including GDPR, SOC 2, export controls and sector-specific obligations.</t>
  </si>
  <si>
    <t>• Regulatory compliance calendar
• GDPR / privacy programme
• SOC 2 / ISO 27001 certification
• Export control &amp; sanctions compliance
• Policy lifecycle management
• Compliance training &amp; awareness</t>
  </si>
  <si>
    <t>Data Protection Officer
(DPO)</t>
  </si>
  <si>
    <t>Statutory GDPR role. Manages privacy programme, DPIAs, data subject rights and regulatory liaison.</t>
  </si>
  <si>
    <t>• GDPR Article 30 records
• DPIA programme
• Data subject rights handling
• Privacy by design advisory
• Supervisory authority liaison
• Cross-border data transfer compliance</t>
  </si>
  <si>
    <t>Responsible for cloud infrastructure, DevOps/SRE, PAM, toolchain security and IT vendor management.</t>
  </si>
  <si>
    <t>• Cloud infrastructure management
• DevOps &amp; CI/CD pipeline security
• PAM &amp; access control
• IT vendor management
• Disaster recovery &amp; BCP
• Technology change management</t>
  </si>
  <si>
    <t>Internal Audit Lead</t>
  </si>
  <si>
    <t>Provides independent assurance over security controls, financial controls and regulatory compliance posture.</t>
  </si>
  <si>
    <t>• Annual risk-based audit plan
• SOC 2 control testing support
• Financial controls assurance
• Regulatory compliance audits
• Penetration test oversight
• Findings &amp; action tracking</t>
  </si>
  <si>
    <t>RACI MATRIX — KEY GRC ACTIVITIES</t>
  </si>
  <si>
    <t>GRC Activity</t>
  </si>
  <si>
    <t>CEO</t>
  </si>
  <si>
    <t>CTO</t>
  </si>
  <si>
    <t>CRO</t>
  </si>
  <si>
    <t>CISO</t>
  </si>
  <si>
    <t>CFO</t>
  </si>
  <si>
    <t>CPO</t>
  </si>
  <si>
    <t>CCO</t>
  </si>
  <si>
    <t>DPO</t>
  </si>
  <si>
    <t>IT Dir</t>
  </si>
  <si>
    <t>Int Audit</t>
  </si>
  <si>
    <t>Enterprise Risk Framework</t>
  </si>
  <si>
    <t>I</t>
  </si>
  <si>
    <t>A</t>
  </si>
  <si>
    <t>C</t>
  </si>
  <si>
    <t>Risk Appetite Statement</t>
  </si>
  <si>
    <t>R</t>
  </si>
  <si>
    <t>Cloud Infrastructure Resilience</t>
  </si>
  <si>
    <t>Software Supply Chain Security</t>
  </si>
  <si>
    <t>Cyber Incident Response</t>
  </si>
  <si>
    <t>Customer Data / GDPR Compliance</t>
  </si>
  <si>
    <t>SOC 2 / ISO 27001 Certification</t>
  </si>
  <si>
    <t>Product Security</t>
  </si>
  <si>
    <t>Talent Acquisition &amp; Retention</t>
  </si>
  <si>
    <t>AI / ML Skills Development</t>
  </si>
  <si>
    <t>DEI &amp; HR Compliance</t>
  </si>
  <si>
    <t>Remote Work Security</t>
  </si>
  <si>
    <t>PAM &amp; Access Control</t>
  </si>
  <si>
    <t>Revenue Concentration Monitoring</t>
  </si>
  <si>
    <t>Financial Controls</t>
  </si>
  <si>
    <t>IP Protection &amp; Trade Secrets</t>
  </si>
  <si>
    <t>Internal Audit Programme</t>
  </si>
  <si>
    <t>Board Risk Reporting</t>
  </si>
  <si>
    <t xml:space="preserve"> = Accountable</t>
  </si>
  <si>
    <t xml:space="preserve"> = Responsible</t>
  </si>
  <si>
    <t xml:space="preserve"> = Consulted</t>
  </si>
  <si>
    <t xml:space="preserve"> = Informed</t>
  </si>
  <si>
    <t>GRC RISK SCORING METHODOLOGY</t>
  </si>
  <si>
    <t>⚡  Inherent Score = Likelihood × Impact   |   Residual Score = Residual Likelihood × Residual Impact   |   All scores recalculate automatically when inputs change</t>
  </si>
  <si>
    <t>LIKELIHOOD SCALE</t>
  </si>
  <si>
    <t>CONTROL EFFECTIVENESS</t>
  </si>
  <si>
    <t>Score</t>
  </si>
  <si>
    <t>Definition</t>
  </si>
  <si>
    <t>Reduction</t>
  </si>
  <si>
    <t>Criteria</t>
  </si>
  <si>
    <t>Very High</t>
  </si>
  <si>
    <t>Almost certain — continuous threat; exploited regularly</t>
  </si>
  <si>
    <t>55%</t>
  </si>
  <si>
    <t>SOC 2 II / ISO 27001 certified; tested; no gaps</t>
  </si>
  <si>
    <t>High</t>
  </si>
  <si>
    <t>Likely — expected to occur within 12 months</t>
  </si>
  <si>
    <t>35%</t>
  </si>
  <si>
    <t>Controls present; minor gaps; cert in progress</t>
  </si>
  <si>
    <t>Medium</t>
  </si>
  <si>
    <t>Possible — could occur within 1–3 years</t>
  </si>
  <si>
    <t>15%</t>
  </si>
  <si>
    <t>Partial controls; significant gaps; largely manual</t>
  </si>
  <si>
    <t>Low</t>
  </si>
  <si>
    <t>Unlikely — may occur within 3–5 years</t>
  </si>
  <si>
    <t>Weak</t>
  </si>
  <si>
    <t>0%</t>
  </si>
  <si>
    <t>Insufficient controls; critical gaps</t>
  </si>
  <si>
    <t>Very Low</t>
  </si>
  <si>
    <t>Rare — less than once in 5 years</t>
  </si>
  <si>
    <t>THREE LINES OF DEFENCE</t>
  </si>
  <si>
    <t>IMPACT SCALE</t>
  </si>
  <si>
    <t>Line</t>
  </si>
  <si>
    <t>Owner</t>
  </si>
  <si>
    <t>1st</t>
  </si>
  <si>
    <t>Business Unit / Department Leads</t>
  </si>
  <si>
    <t>Day-to-day risk ownership &amp; control operation</t>
  </si>
  <si>
    <t>Catastrophic</t>
  </si>
  <si>
    <t>Existential threat; regulatory closure; loss &gt; £50M</t>
  </si>
  <si>
    <t>2nd</t>
  </si>
  <si>
    <t>CRO / CCO / CISO / HR</t>
  </si>
  <si>
    <t>Risk framework, policy, oversight &amp; challenge</t>
  </si>
  <si>
    <t>Major</t>
  </si>
  <si>
    <t>Material harm; loss £10M–£50M; significant regulatory sanction</t>
  </si>
  <si>
    <t>3rd</t>
  </si>
  <si>
    <t>Internal Audit</t>
  </si>
  <si>
    <t>Independent assurance over risk &amp; controls</t>
  </si>
  <si>
    <t>Moderate</t>
  </si>
  <si>
    <t>Disruption; loss £1M–£10M; regulatory attention</t>
  </si>
  <si>
    <t>Minor</t>
  </si>
  <si>
    <t>Limited impact; loss £100K–£1M; manageable</t>
  </si>
  <si>
    <t>Negligible</t>
  </si>
  <si>
    <t>Minimal; loss &lt; £100K; quickly resolved</t>
  </si>
  <si>
    <t>RISK RATING MATRIX (Inherent)</t>
  </si>
  <si>
    <t>Required Response</t>
  </si>
  <si>
    <t>20–25</t>
  </si>
  <si>
    <t>Critical</t>
  </si>
  <si>
    <t>Board escalation within 24 hrs. Emergency treatment plan.</t>
  </si>
  <si>
    <t>12–19</t>
  </si>
  <si>
    <t>Escalate to CRO. Active remediation. Review within 30 days.</t>
  </si>
  <si>
    <t>6–11</t>
  </si>
  <si>
    <t>Assign owner. Treatment plan within 60 days. Quarterly monitoring.</t>
  </si>
  <si>
    <t>2–5</t>
  </si>
  <si>
    <t>Accept or treat. Standard annual review cycle.</t>
  </si>
  <si>
    <t>1</t>
  </si>
  <si>
    <t>Informational</t>
  </si>
  <si>
    <t>Log and monitor. Annual review.</t>
  </si>
  <si>
    <t>Total Risks</t>
  </si>
  <si>
    <t>Critical / High</t>
  </si>
  <si>
    <t>Open Risks</t>
  </si>
  <si>
    <t>Avg Residual Score</t>
  </si>
  <si>
    <t>Closed / Accepted</t>
  </si>
  <si>
    <t>Overdue Actions</t>
  </si>
  <si>
    <t>IT / Tech Risks</t>
  </si>
  <si>
    <t>HR / People Risks</t>
  </si>
  <si>
    <t>RISK DISTRIBUTION BY DOMAIN  ⚡ Auto-updates</t>
  </si>
  <si>
    <t>Total</t>
  </si>
  <si>
    <t>RISK OWNERSHIP SUMMARY  ⚡ Auto-updates</t>
  </si>
  <si>
    <t>Owned</t>
  </si>
  <si>
    <t>Avg Residual</t>
  </si>
  <si>
    <t>GRC EXECUTIVE RISK DASHBOARD — KTECH</t>
  </si>
  <si>
    <t>Reporting Period: Q1 2026   |   Prepared by: Senior GRC Analyst   |   As of 07 April 2026   |   All metrics update automatically from the Risk Register</t>
  </si>
  <si>
    <t xml:space="preserve">          GRC RISK REGISTER — KTECH</t>
  </si>
  <si>
    <t>KTECH  Residual Risk View  |  Q1 2026</t>
  </si>
  <si>
    <t>Organisation: KTECH  |   Sector: SaaS / Cloud Technology   |   Regulated by: ICO, FCA (payments)   |   Attestations: SOC 2 Type II, ISO 27001   |   Framework: ISO 31000 / NIST CSF   |   Version: 1.0   |   Last Updated: 07 April 2026   |   Classification: Portfolio Demonstration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</si>
</sst>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47" x14ac:knownFonts="1">
    <font>
      <sz val="11"/>
      <color theme="1"/>
      <name val="Calibri"/>
      <family val="2"/>
      <charset val="1"/>
    </font>
    <font>
      <b/>
      <sz val="18"/>
      <color rgb="FFFFFFFF"/>
      <name val="Calibri"/>
      <charset val="1"/>
    </font>
    <font>
      <i/>
      <sz val="8"/>
      <color rgb="FFFFFFFF"/>
      <name val="Calibri"/>
      <charset val="1"/>
    </font>
    <font>
      <b/>
      <sz val="8"/>
      <color rgb="FFFFFFFF"/>
      <name val="Calibri"/>
      <charset val="1"/>
    </font>
    <font>
      <sz val="8"/>
      <color rgb="FF2D2D2D"/>
      <name val="Calibri"/>
      <charset val="1"/>
    </font>
    <font>
      <b/>
      <sz val="8"/>
      <color rgb="FF2D2D2D"/>
      <name val="Calibri"/>
      <charset val="1"/>
    </font>
    <font>
      <i/>
      <sz val="8"/>
      <color rgb="FF2E6DA4"/>
      <name val="Calibri"/>
      <charset val="1"/>
    </font>
    <font>
      <b/>
      <sz val="15"/>
      <color rgb="FFFFFFFF"/>
      <name val="Calibri"/>
      <charset val="1"/>
    </font>
    <font>
      <i/>
      <sz val="9"/>
      <color rgb="FFFFFFFF"/>
      <name val="Calibri"/>
      <charset val="1"/>
    </font>
    <font>
      <b/>
      <sz val="11"/>
      <color rgb="FFFFFFFF"/>
      <name val="Calibri"/>
      <charset val="1"/>
    </font>
    <font>
      <b/>
      <sz val="9"/>
      <color rgb="FFFFFFFF"/>
      <name val="Calibri"/>
      <charset val="1"/>
    </font>
    <font>
      <b/>
      <sz val="8.5"/>
      <color rgb="FF2D2D2D"/>
      <name val="Calibri"/>
      <charset val="1"/>
    </font>
    <font>
      <sz val="8.5"/>
      <color rgb="FF2D2D2D"/>
      <name val="Calibri"/>
      <charset val="1"/>
    </font>
    <font>
      <sz val="9"/>
      <color rgb="FF6B6B6B"/>
      <name val="Calibri"/>
      <charset val="1"/>
    </font>
    <font>
      <b/>
      <sz val="9"/>
      <color rgb="FF7B0000"/>
      <name val="Calibri"/>
      <charset val="1"/>
    </font>
    <font>
      <sz val="9"/>
      <color rgb="FF7F6000"/>
      <name val="Calibri"/>
      <charset val="1"/>
    </font>
    <font>
      <sz val="9"/>
      <color rgb="FF1E4620"/>
      <name val="Calibri"/>
      <charset val="1"/>
    </font>
    <font>
      <sz val="9"/>
      <color rgb="FF7B0000"/>
      <name val="Calibri"/>
      <charset val="1"/>
    </font>
    <font>
      <b/>
      <sz val="9"/>
      <color rgb="FF1E4620"/>
      <name val="Calibri"/>
      <charset val="1"/>
    </font>
    <font>
      <b/>
      <sz val="9"/>
      <color rgb="FF7F6000"/>
      <name val="Calibri"/>
      <charset val="1"/>
    </font>
    <font>
      <b/>
      <sz val="9"/>
      <color rgb="FF6B6B6B"/>
      <name val="Calibri"/>
      <charset val="1"/>
    </font>
    <font>
      <b/>
      <sz val="10"/>
      <color rgb="FFFFFFFF"/>
      <name val="Calibri"/>
      <charset val="1"/>
    </font>
    <font>
      <b/>
      <sz val="16"/>
      <color rgb="FFFFFFFF"/>
      <name val="Calibri"/>
      <charset val="1"/>
    </font>
    <font>
      <b/>
      <sz val="9"/>
      <color rgb="FF2E6DA4"/>
      <name val="Calibri"/>
      <charset val="1"/>
    </font>
    <font>
      <b/>
      <sz val="9"/>
      <color rgb="FFC00000"/>
      <name val="Calibri"/>
      <charset val="1"/>
    </font>
    <font>
      <b/>
      <sz val="9"/>
      <color rgb="FFC55A11"/>
      <name val="Calibri"/>
      <charset val="1"/>
    </font>
    <font>
      <b/>
      <sz val="9"/>
      <color rgb="FFBF8F00"/>
      <name val="Calibri"/>
      <charset val="1"/>
    </font>
    <font>
      <b/>
      <sz val="24"/>
      <color rgb="FF2E6DA4"/>
      <name val="Calibri"/>
      <charset val="1"/>
    </font>
    <font>
      <b/>
      <sz val="24"/>
      <color rgb="FFC00000"/>
      <name val="Calibri"/>
      <charset val="1"/>
    </font>
    <font>
      <b/>
      <sz val="24"/>
      <color rgb="FFC55A11"/>
      <name val="Calibri"/>
      <charset val="1"/>
    </font>
    <font>
      <b/>
      <sz val="24"/>
      <color rgb="FFBF8F00"/>
      <name val="Calibri"/>
      <charset val="1"/>
    </font>
    <font>
      <b/>
      <sz val="9"/>
      <color rgb="FF375623"/>
      <name val="Calibri"/>
      <charset val="1"/>
    </font>
    <font>
      <b/>
      <sz val="9"/>
      <color rgb="FF1F7A6E"/>
      <name val="Calibri"/>
      <charset val="1"/>
    </font>
    <font>
      <b/>
      <sz val="24"/>
      <color rgb="FF375623"/>
      <name val="Calibri"/>
      <charset val="1"/>
    </font>
    <font>
      <b/>
      <sz val="24"/>
      <color rgb="FF1F7A6E"/>
      <name val="Calibri"/>
      <charset val="1"/>
    </font>
    <font>
      <b/>
      <sz val="18"/>
      <color rgb="FF1F2D3D"/>
      <name val="Arial"/>
      <charset val="1"/>
    </font>
    <font>
      <i/>
      <sz val="10"/>
      <color rgb="FF5A6A7A"/>
      <name val="Arial"/>
      <charset val="1"/>
    </font>
    <font>
      <b/>
      <sz val="9"/>
      <color rgb="FF1F2D3D"/>
      <name val="Arial"/>
      <charset val="1"/>
    </font>
    <font>
      <b/>
      <sz val="10"/>
      <color rgb="FF1F2D3D"/>
      <name val="Arial"/>
      <charset val="1"/>
    </font>
    <font>
      <b/>
      <sz val="9"/>
      <color rgb="FFFFFFFF"/>
      <name val="Arial"/>
      <charset val="1"/>
    </font>
    <font>
      <i/>
      <sz val="8"/>
      <color rgb="FFFFFFFF"/>
      <name val="Arial"/>
      <charset val="1"/>
    </font>
    <font>
      <b/>
      <sz val="10"/>
      <color rgb="FFFFFFFF"/>
      <name val="Arial"/>
      <charset val="1"/>
    </font>
    <font>
      <i/>
      <sz val="8"/>
      <color rgb="FF5A6A7A"/>
      <name val="Arial"/>
      <charset val="1"/>
    </font>
    <font>
      <b/>
      <sz val="10"/>
      <color rgb="FF333333"/>
      <name val="Arial"/>
      <charset val="1"/>
    </font>
    <font>
      <b/>
      <sz val="8"/>
      <color rgb="FF1F2D3D"/>
      <name val="Arial"/>
      <charset val="1"/>
    </font>
    <font>
      <b/>
      <sz val="11"/>
      <color rgb="FF1F2D3D"/>
      <name val="Arial"/>
      <charset val="1"/>
    </font>
    <font>
      <sz val="9"/>
      <color rgb="FF1F2D3D"/>
      <name val="Arial"/>
      <charset val="1"/>
    </font>
  </fonts>
  <fills count="34">
    <fill>
      <patternFill patternType="none"/>
    </fill>
    <fill>
      <patternFill patternType="gray125"/>
    </fill>
    <fill>
      <patternFill patternType="solid">
        <fgColor rgb="FF0D2137"/>
        <bgColor rgb="FF1F2D3D"/>
      </patternFill>
    </fill>
    <fill>
      <patternFill patternType="solid">
        <fgColor rgb="FF1A3A5C"/>
        <bgColor rgb="FF1F2D3D"/>
      </patternFill>
    </fill>
    <fill>
      <patternFill patternType="solid">
        <fgColor rgb="FF4A6FA5"/>
        <bgColor rgb="FF2E6DA4"/>
      </patternFill>
    </fill>
    <fill>
      <patternFill patternType="solid">
        <fgColor rgb="FFEBF4FB"/>
        <bgColor rgb="FFF4F7FB"/>
      </patternFill>
    </fill>
    <fill>
      <patternFill patternType="solid">
        <fgColor rgb="FFD6E8F7"/>
        <bgColor rgb="FFD5F0ED"/>
      </patternFill>
    </fill>
    <fill>
      <patternFill patternType="solid">
        <fgColor rgb="FFFCE4D6"/>
        <bgColor rgb="FFFFD7D7"/>
      </patternFill>
    </fill>
    <fill>
      <patternFill patternType="solid">
        <fgColor rgb="FFFFF2CC"/>
        <bgColor rgb="FFFCE4D6"/>
      </patternFill>
    </fill>
    <fill>
      <patternFill patternType="solid">
        <fgColor rgb="FFFFFFFF"/>
        <bgColor rgb="FFF4F7FB"/>
      </patternFill>
    </fill>
    <fill>
      <patternFill patternType="solid">
        <fgColor rgb="FFC6EFCE"/>
        <bgColor rgb="FFD5F0ED"/>
      </patternFill>
    </fill>
    <fill>
      <patternFill patternType="solid">
        <fgColor rgb="FFFFD7D7"/>
        <bgColor rgb="FFFCE4D6"/>
      </patternFill>
    </fill>
    <fill>
      <patternFill patternType="solid">
        <fgColor rgb="FFD5F0ED"/>
        <bgColor rgb="FFD6E8F7"/>
      </patternFill>
    </fill>
    <fill>
      <patternFill patternType="solid">
        <fgColor rgb="FFE8D5F5"/>
        <bgColor rgb="FFE0E0E0"/>
      </patternFill>
    </fill>
    <fill>
      <patternFill patternType="solid">
        <fgColor rgb="FFF4F4F4"/>
        <bgColor rgb="FFF4F7FB"/>
      </patternFill>
    </fill>
    <fill>
      <patternFill patternType="solid">
        <fgColor rgb="FF2E6DA4"/>
        <bgColor rgb="FF4A6FA5"/>
      </patternFill>
    </fill>
    <fill>
      <patternFill patternType="solid">
        <fgColor rgb="FFC00000"/>
        <bgColor rgb="FFCC0000"/>
      </patternFill>
    </fill>
    <fill>
      <patternFill patternType="solid">
        <fgColor rgb="FFC55A11"/>
        <bgColor rgb="FFFF6600"/>
      </patternFill>
    </fill>
    <fill>
      <patternFill patternType="solid">
        <fgColor rgb="FFBF8F00"/>
        <bgColor rgb="FFFF9900"/>
      </patternFill>
    </fill>
    <fill>
      <patternFill patternType="solid">
        <fgColor rgb="FF375623"/>
        <bgColor rgb="FF1E4620"/>
      </patternFill>
    </fill>
    <fill>
      <patternFill patternType="solid">
        <fgColor rgb="FF1F7A6E"/>
        <bgColor rgb="FF2E6DA4"/>
      </patternFill>
    </fill>
    <fill>
      <patternFill patternType="solid">
        <fgColor rgb="FFFFA500"/>
        <bgColor rgb="FFFF9900"/>
      </patternFill>
    </fill>
    <fill>
      <patternFill patternType="solid">
        <fgColor rgb="FFFF6600"/>
        <bgColor rgb="FFC55A11"/>
      </patternFill>
    </fill>
    <fill>
      <patternFill patternType="solid">
        <fgColor rgb="FFFF3300"/>
        <bgColor rgb="FFFF6600"/>
      </patternFill>
    </fill>
    <fill>
      <patternFill patternType="solid">
        <fgColor rgb="FFCC0000"/>
        <bgColor rgb="FFC00000"/>
      </patternFill>
    </fill>
    <fill>
      <patternFill patternType="solid">
        <fgColor rgb="FF990000"/>
        <bgColor rgb="FF7B0000"/>
      </patternFill>
    </fill>
    <fill>
      <patternFill patternType="solid">
        <fgColor rgb="FFFFCC00"/>
        <bgColor rgb="FFFFA500"/>
      </patternFill>
    </fill>
    <fill>
      <patternFill patternType="solid">
        <fgColor rgb="FFFF9900"/>
        <bgColor rgb="FFFFA500"/>
      </patternFill>
    </fill>
    <fill>
      <patternFill patternType="solid">
        <fgColor rgb="FF99CC00"/>
        <bgColor rgb="FFBF8F00"/>
      </patternFill>
    </fill>
    <fill>
      <patternFill patternType="solid">
        <fgColor rgb="FFFFFF00"/>
        <bgColor rgb="FFFFCC00"/>
      </patternFill>
    </fill>
    <fill>
      <patternFill patternType="solid">
        <fgColor rgb="FF33CC33"/>
        <bgColor rgb="FF00AA00"/>
      </patternFill>
    </fill>
    <fill>
      <patternFill patternType="solid">
        <fgColor rgb="FF00AA00"/>
        <bgColor rgb="FF33CC33"/>
      </patternFill>
    </fill>
    <fill>
      <patternFill patternType="solid">
        <fgColor rgb="FF1F2D3D"/>
        <bgColor rgb="FF2D2D2D"/>
      </patternFill>
    </fill>
    <fill>
      <patternFill patternType="solid">
        <fgColor rgb="FFF4F7FB"/>
        <bgColor rgb="FFF4F4F4"/>
      </patternFill>
    </fill>
  </fills>
  <borders count="14">
    <border>
      <left/>
      <right/>
      <top/>
      <bottom/>
      <diagonal/>
    </border>
    <border>
      <left style="medium">
        <color rgb="FF0D2137"/>
      </left>
      <right style="thin">
        <color rgb="FFC0C0C0"/>
      </right>
      <top style="medium">
        <color rgb="FF0D2137"/>
      </top>
      <bottom style="medium">
        <color rgb="FF0D2137"/>
      </bottom>
      <diagonal/>
    </border>
    <border>
      <left style="thin">
        <color rgb="FFC0C0C0"/>
      </left>
      <right style="thin">
        <color rgb="FFC0C0C0"/>
      </right>
      <top style="medium">
        <color rgb="FF0D2137"/>
      </top>
      <bottom style="medium">
        <color rgb="FF0D2137"/>
      </bottom>
      <diagonal/>
    </border>
    <border>
      <left style="thin">
        <color rgb="FFC0C0C0"/>
      </left>
      <right style="medium">
        <color rgb="FF0D2137"/>
      </right>
      <top style="medium">
        <color rgb="FF0D2137"/>
      </top>
      <bottom style="medium">
        <color rgb="FF0D2137"/>
      </bottom>
      <diagonal/>
    </border>
    <border>
      <left style="medium">
        <color rgb="FF0D2137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rgb="FFC0C0C0"/>
      </left>
      <right style="medium">
        <color rgb="FF0D2137"/>
      </right>
      <top style="thin">
        <color rgb="FFC0C0C0"/>
      </top>
      <bottom style="thin">
        <color rgb="FFC0C0C0"/>
      </bottom>
      <diagonal/>
    </border>
    <border>
      <left style="medium">
        <color rgb="FF0D2137"/>
      </left>
      <right style="thin">
        <color rgb="FFC0C0C0"/>
      </right>
      <top style="thin">
        <color rgb="FFC0C0C0"/>
      </top>
      <bottom style="medium">
        <color rgb="FF0D2137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medium">
        <color rgb="FF0D2137"/>
      </bottom>
      <diagonal/>
    </border>
    <border>
      <left style="thin">
        <color rgb="FFC0C0C0"/>
      </left>
      <right style="medium">
        <color rgb="FF0D2137"/>
      </right>
      <top style="thin">
        <color rgb="FFC0C0C0"/>
      </top>
      <bottom style="medium">
        <color rgb="FF0D2137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/>
      <bottom style="thin">
        <color rgb="FFFFFFFF"/>
      </bottom>
      <diagonal/>
    </border>
    <border>
      <left/>
      <right/>
      <top/>
      <bottom style="thin">
        <color rgb="FFE0E0E0"/>
      </bottom>
      <diagonal/>
    </border>
  </borders>
  <cellStyleXfs count="1">
    <xf numFmtId="0" fontId="0" fillId="0" borderId="0"/>
  </cellStyleXfs>
  <cellXfs count="203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4" fillId="5" borderId="4" xfId="0" applyFont="1" applyFill="1" applyBorder="1" applyAlignment="1">
      <alignment horizontal="center" vertical="center" wrapText="1"/>
    </xf>
    <xf numFmtId="0" fontId="4" fillId="5" borderId="5" xfId="0" applyFont="1" applyFill="1" applyBorder="1" applyAlignment="1">
      <alignment horizontal="left" vertical="center" wrapText="1"/>
    </xf>
    <xf numFmtId="0" fontId="5" fillId="6" borderId="5" xfId="0" applyFont="1" applyFill="1" applyBorder="1" applyAlignment="1">
      <alignment horizontal="center" vertical="center" wrapText="1"/>
    </xf>
    <xf numFmtId="0" fontId="4" fillId="5" borderId="5" xfId="0" applyFont="1" applyFill="1" applyBorder="1" applyAlignment="1">
      <alignment horizontal="center" vertical="center" wrapText="1"/>
    </xf>
    <xf numFmtId="0" fontId="5" fillId="5" borderId="5" xfId="0" applyFont="1" applyFill="1" applyBorder="1" applyAlignment="1">
      <alignment horizontal="center" vertical="center" wrapText="1"/>
    </xf>
    <xf numFmtId="0" fontId="5" fillId="7" borderId="5" xfId="0" applyFont="1" applyFill="1" applyBorder="1" applyAlignment="1">
      <alignment horizontal="left" vertical="center" wrapText="1"/>
    </xf>
    <xf numFmtId="0" fontId="5" fillId="8" borderId="6" xfId="0" applyFont="1" applyFill="1" applyBorder="1" applyAlignment="1">
      <alignment horizontal="center" vertical="center" wrapText="1"/>
    </xf>
    <xf numFmtId="0" fontId="4" fillId="9" borderId="4" xfId="0" applyFont="1" applyFill="1" applyBorder="1" applyAlignment="1">
      <alignment horizontal="center" vertical="center" wrapText="1"/>
    </xf>
    <xf numFmtId="0" fontId="4" fillId="9" borderId="5" xfId="0" applyFont="1" applyFill="1" applyBorder="1" applyAlignment="1">
      <alignment horizontal="left" vertical="center" wrapText="1"/>
    </xf>
    <xf numFmtId="0" fontId="4" fillId="9" borderId="5" xfId="0" applyFont="1" applyFill="1" applyBorder="1" applyAlignment="1">
      <alignment horizontal="center" vertical="center" wrapText="1"/>
    </xf>
    <xf numFmtId="0" fontId="5" fillId="9" borderId="5" xfId="0" applyFont="1" applyFill="1" applyBorder="1" applyAlignment="1">
      <alignment horizontal="center" vertical="center" wrapText="1"/>
    </xf>
    <xf numFmtId="0" fontId="5" fillId="10" borderId="5" xfId="0" applyFont="1" applyFill="1" applyBorder="1" applyAlignment="1">
      <alignment horizontal="left" vertical="center" wrapText="1"/>
    </xf>
    <xf numFmtId="0" fontId="5" fillId="8" borderId="5" xfId="0" applyFont="1" applyFill="1" applyBorder="1" applyAlignment="1">
      <alignment horizontal="left" vertical="center" wrapText="1"/>
    </xf>
    <xf numFmtId="0" fontId="5" fillId="11" borderId="6" xfId="0" applyFont="1" applyFill="1" applyBorder="1" applyAlignment="1">
      <alignment horizontal="center" vertical="center" wrapText="1"/>
    </xf>
    <xf numFmtId="0" fontId="5" fillId="12" borderId="5" xfId="0" applyFont="1" applyFill="1" applyBorder="1" applyAlignment="1">
      <alignment horizontal="center" vertical="center" wrapText="1"/>
    </xf>
    <xf numFmtId="0" fontId="5" fillId="13" borderId="5" xfId="0" applyFont="1" applyFill="1" applyBorder="1" applyAlignment="1">
      <alignment horizontal="center" vertical="center" wrapText="1"/>
    </xf>
    <xf numFmtId="0" fontId="5" fillId="10" borderId="6" xfId="0" applyFont="1" applyFill="1" applyBorder="1" applyAlignment="1">
      <alignment horizontal="center" vertical="center" wrapText="1"/>
    </xf>
    <xf numFmtId="0" fontId="5" fillId="11" borderId="5" xfId="0" applyFont="1" applyFill="1" applyBorder="1" applyAlignment="1">
      <alignment horizontal="center" vertical="center" wrapText="1"/>
    </xf>
    <xf numFmtId="0" fontId="4" fillId="5" borderId="7" xfId="0" applyFont="1" applyFill="1" applyBorder="1" applyAlignment="1">
      <alignment horizontal="center" vertical="center" wrapText="1"/>
    </xf>
    <xf numFmtId="0" fontId="4" fillId="5" borderId="8" xfId="0" applyFont="1" applyFill="1" applyBorder="1" applyAlignment="1">
      <alignment horizontal="left" vertical="center" wrapText="1"/>
    </xf>
    <xf numFmtId="0" fontId="5" fillId="8" borderId="8" xfId="0" applyFont="1" applyFill="1" applyBorder="1" applyAlignment="1">
      <alignment horizontal="center" vertical="center" wrapText="1"/>
    </xf>
    <xf numFmtId="0" fontId="4" fillId="5" borderId="8" xfId="0" applyFont="1" applyFill="1" applyBorder="1" applyAlignment="1">
      <alignment horizontal="center" vertical="center" wrapText="1"/>
    </xf>
    <xf numFmtId="0" fontId="5" fillId="5" borderId="8" xfId="0" applyFont="1" applyFill="1" applyBorder="1" applyAlignment="1">
      <alignment horizontal="center" vertical="center" wrapText="1"/>
    </xf>
    <xf numFmtId="0" fontId="5" fillId="7" borderId="8" xfId="0" applyFont="1" applyFill="1" applyBorder="1" applyAlignment="1">
      <alignment horizontal="left" vertical="center" wrapText="1"/>
    </xf>
    <xf numFmtId="0" fontId="5" fillId="11" borderId="9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10" fillId="4" borderId="2" xfId="0" applyFont="1" applyFill="1" applyBorder="1" applyAlignment="1">
      <alignment horizontal="center" vertical="center" wrapText="1"/>
    </xf>
    <xf numFmtId="0" fontId="10" fillId="4" borderId="3" xfId="0" applyFont="1" applyFill="1" applyBorder="1" applyAlignment="1">
      <alignment horizontal="center" vertical="center" wrapText="1"/>
    </xf>
    <xf numFmtId="0" fontId="11" fillId="6" borderId="4" xfId="0" applyFont="1" applyFill="1" applyBorder="1" applyAlignment="1">
      <alignment horizontal="left" vertical="top" wrapText="1"/>
    </xf>
    <xf numFmtId="0" fontId="12" fillId="5" borderId="5" xfId="0" applyFont="1" applyFill="1" applyBorder="1" applyAlignment="1">
      <alignment horizontal="left" vertical="top" wrapText="1"/>
    </xf>
    <xf numFmtId="0" fontId="12" fillId="5" borderId="6" xfId="0" applyFont="1" applyFill="1" applyBorder="1" applyAlignment="1">
      <alignment horizontal="left" vertical="top" wrapText="1"/>
    </xf>
    <xf numFmtId="0" fontId="11" fillId="13" borderId="4" xfId="0" applyFont="1" applyFill="1" applyBorder="1" applyAlignment="1">
      <alignment horizontal="left" vertical="top" wrapText="1"/>
    </xf>
    <xf numFmtId="0" fontId="12" fillId="9" borderId="5" xfId="0" applyFont="1" applyFill="1" applyBorder="1" applyAlignment="1">
      <alignment horizontal="left" vertical="top" wrapText="1"/>
    </xf>
    <xf numFmtId="0" fontId="12" fillId="9" borderId="6" xfId="0" applyFont="1" applyFill="1" applyBorder="1" applyAlignment="1">
      <alignment horizontal="left" vertical="top" wrapText="1"/>
    </xf>
    <xf numFmtId="0" fontId="11" fillId="11" borderId="4" xfId="0" applyFont="1" applyFill="1" applyBorder="1" applyAlignment="1">
      <alignment horizontal="left" vertical="top" wrapText="1"/>
    </xf>
    <xf numFmtId="0" fontId="11" fillId="8" borderId="4" xfId="0" applyFont="1" applyFill="1" applyBorder="1" applyAlignment="1">
      <alignment horizontal="left" vertical="top" wrapText="1"/>
    </xf>
    <xf numFmtId="0" fontId="11" fillId="7" borderId="4" xfId="0" applyFont="1" applyFill="1" applyBorder="1" applyAlignment="1">
      <alignment horizontal="left" vertical="top" wrapText="1"/>
    </xf>
    <xf numFmtId="0" fontId="11" fillId="12" borderId="4" xfId="0" applyFont="1" applyFill="1" applyBorder="1" applyAlignment="1">
      <alignment horizontal="left" vertical="top" wrapText="1"/>
    </xf>
    <xf numFmtId="0" fontId="11" fillId="10" borderId="4" xfId="0" applyFont="1" applyFill="1" applyBorder="1" applyAlignment="1">
      <alignment horizontal="left" vertical="top" wrapText="1"/>
    </xf>
    <xf numFmtId="0" fontId="11" fillId="5" borderId="4" xfId="0" applyFont="1" applyFill="1" applyBorder="1" applyAlignment="1">
      <alignment horizontal="left" vertical="top" wrapText="1"/>
    </xf>
    <xf numFmtId="0" fontId="11" fillId="6" borderId="7" xfId="0" applyFont="1" applyFill="1" applyBorder="1" applyAlignment="1">
      <alignment horizontal="left" vertical="top" wrapText="1"/>
    </xf>
    <xf numFmtId="0" fontId="12" fillId="9" borderId="8" xfId="0" applyFont="1" applyFill="1" applyBorder="1" applyAlignment="1">
      <alignment horizontal="left" vertical="top" wrapText="1"/>
    </xf>
    <xf numFmtId="0" fontId="12" fillId="9" borderId="9" xfId="0" applyFont="1" applyFill="1" applyBorder="1" applyAlignment="1">
      <alignment horizontal="left" vertical="top" wrapText="1"/>
    </xf>
    <xf numFmtId="0" fontId="3" fillId="4" borderId="1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 wrapText="1"/>
    </xf>
    <xf numFmtId="0" fontId="12" fillId="5" borderId="4" xfId="0" applyFont="1" applyFill="1" applyBorder="1" applyAlignment="1">
      <alignment horizontal="left" vertical="center"/>
    </xf>
    <xf numFmtId="0" fontId="13" fillId="14" borderId="5" xfId="0" applyFont="1" applyFill="1" applyBorder="1" applyAlignment="1">
      <alignment horizontal="center" vertical="center"/>
    </xf>
    <xf numFmtId="0" fontId="14" fillId="11" borderId="5" xfId="0" applyFont="1" applyFill="1" applyBorder="1" applyAlignment="1">
      <alignment horizontal="center" vertical="center"/>
    </xf>
    <xf numFmtId="0" fontId="15" fillId="8" borderId="5" xfId="0" applyFont="1" applyFill="1" applyBorder="1" applyAlignment="1">
      <alignment horizontal="center" vertical="center"/>
    </xf>
    <xf numFmtId="0" fontId="15" fillId="8" borderId="6" xfId="0" applyFont="1" applyFill="1" applyBorder="1" applyAlignment="1">
      <alignment horizontal="center" vertical="center"/>
    </xf>
    <xf numFmtId="0" fontId="12" fillId="9" borderId="4" xfId="0" applyFont="1" applyFill="1" applyBorder="1" applyAlignment="1">
      <alignment horizontal="left" vertical="center"/>
    </xf>
    <xf numFmtId="0" fontId="16" fillId="10" borderId="5" xfId="0" applyFont="1" applyFill="1" applyBorder="1" applyAlignment="1">
      <alignment horizontal="center" vertical="center"/>
    </xf>
    <xf numFmtId="0" fontId="13" fillId="14" borderId="6" xfId="0" applyFont="1" applyFill="1" applyBorder="1" applyAlignment="1">
      <alignment horizontal="center" vertical="center"/>
    </xf>
    <xf numFmtId="0" fontId="16" fillId="10" borderId="6" xfId="0" applyFont="1" applyFill="1" applyBorder="1" applyAlignment="1">
      <alignment horizontal="center" vertical="center"/>
    </xf>
    <xf numFmtId="0" fontId="14" fillId="11" borderId="6" xfId="0" applyFont="1" applyFill="1" applyBorder="1" applyAlignment="1">
      <alignment horizontal="center" vertical="center"/>
    </xf>
    <xf numFmtId="0" fontId="12" fillId="9" borderId="7" xfId="0" applyFont="1" applyFill="1" applyBorder="1" applyAlignment="1">
      <alignment horizontal="left" vertical="center"/>
    </xf>
    <xf numFmtId="0" fontId="14" fillId="11" borderId="8" xfId="0" applyFont="1" applyFill="1" applyBorder="1" applyAlignment="1">
      <alignment horizontal="center" vertical="center"/>
    </xf>
    <xf numFmtId="0" fontId="13" fillId="14" borderId="8" xfId="0" applyFont="1" applyFill="1" applyBorder="1" applyAlignment="1">
      <alignment horizontal="center" vertical="center"/>
    </xf>
    <xf numFmtId="0" fontId="16" fillId="10" borderId="8" xfId="0" applyFont="1" applyFill="1" applyBorder="1" applyAlignment="1">
      <alignment horizontal="center" vertical="center"/>
    </xf>
    <xf numFmtId="0" fontId="15" fillId="8" borderId="8" xfId="0" applyFont="1" applyFill="1" applyBorder="1" applyAlignment="1">
      <alignment horizontal="center" vertical="center"/>
    </xf>
    <xf numFmtId="0" fontId="15" fillId="8" borderId="9" xfId="0" applyFont="1" applyFill="1" applyBorder="1" applyAlignment="1">
      <alignment horizontal="center" vertical="center"/>
    </xf>
    <xf numFmtId="0" fontId="14" fillId="11" borderId="4" xfId="0" applyFont="1" applyFill="1" applyBorder="1" applyAlignment="1">
      <alignment horizontal="center" vertical="center"/>
    </xf>
    <xf numFmtId="0" fontId="17" fillId="11" borderId="5" xfId="0" applyFont="1" applyFill="1" applyBorder="1" applyAlignment="1">
      <alignment horizontal="left" vertical="center"/>
    </xf>
    <xf numFmtId="0" fontId="18" fillId="10" borderId="4" xfId="0" applyFont="1" applyFill="1" applyBorder="1" applyAlignment="1">
      <alignment horizontal="center" vertical="center"/>
    </xf>
    <xf numFmtId="0" fontId="16" fillId="10" borderId="5" xfId="0" applyFont="1" applyFill="1" applyBorder="1" applyAlignment="1">
      <alignment horizontal="left" vertical="center"/>
    </xf>
    <xf numFmtId="0" fontId="19" fillId="8" borderId="4" xfId="0" applyFont="1" applyFill="1" applyBorder="1" applyAlignment="1">
      <alignment horizontal="center" vertical="center"/>
    </xf>
    <xf numFmtId="0" fontId="15" fillId="8" borderId="5" xfId="0" applyFont="1" applyFill="1" applyBorder="1" applyAlignment="1">
      <alignment horizontal="left" vertical="center"/>
    </xf>
    <xf numFmtId="0" fontId="20" fillId="14" borderId="4" xfId="0" applyFont="1" applyFill="1" applyBorder="1" applyAlignment="1">
      <alignment horizontal="center" vertical="center"/>
    </xf>
    <xf numFmtId="0" fontId="13" fillId="14" borderId="5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center" vertical="center" wrapText="1"/>
    </xf>
    <xf numFmtId="0" fontId="11" fillId="11" borderId="4" xfId="0" applyFont="1" applyFill="1" applyBorder="1" applyAlignment="1">
      <alignment horizontal="center" vertical="center"/>
    </xf>
    <xf numFmtId="0" fontId="11" fillId="11" borderId="5" xfId="0" applyFont="1" applyFill="1" applyBorder="1" applyAlignment="1">
      <alignment horizontal="center" vertical="center"/>
    </xf>
    <xf numFmtId="0" fontId="12" fillId="11" borderId="6" xfId="0" applyFont="1" applyFill="1" applyBorder="1" applyAlignment="1">
      <alignment horizontal="left" vertical="center" wrapText="1"/>
    </xf>
    <xf numFmtId="0" fontId="11" fillId="10" borderId="4" xfId="0" applyFont="1" applyFill="1" applyBorder="1" applyAlignment="1">
      <alignment horizontal="left" vertical="center" wrapText="1"/>
    </xf>
    <xf numFmtId="0" fontId="11" fillId="10" borderId="5" xfId="0" applyFont="1" applyFill="1" applyBorder="1" applyAlignment="1">
      <alignment horizontal="left" vertical="center" wrapText="1"/>
    </xf>
    <xf numFmtId="0" fontId="12" fillId="10" borderId="6" xfId="0" applyFont="1" applyFill="1" applyBorder="1" applyAlignment="1">
      <alignment horizontal="left" vertical="center" wrapText="1"/>
    </xf>
    <xf numFmtId="0" fontId="11" fillId="7" borderId="4" xfId="0" applyFont="1" applyFill="1" applyBorder="1" applyAlignment="1">
      <alignment horizontal="center" vertical="center"/>
    </xf>
    <xf numFmtId="0" fontId="11" fillId="7" borderId="5" xfId="0" applyFont="1" applyFill="1" applyBorder="1" applyAlignment="1">
      <alignment horizontal="center" vertical="center"/>
    </xf>
    <xf numFmtId="0" fontId="12" fillId="7" borderId="6" xfId="0" applyFont="1" applyFill="1" applyBorder="1" applyAlignment="1">
      <alignment horizontal="left" vertical="center" wrapText="1"/>
    </xf>
    <xf numFmtId="0" fontId="11" fillId="8" borderId="4" xfId="0" applyFont="1" applyFill="1" applyBorder="1" applyAlignment="1">
      <alignment horizontal="left" vertical="center" wrapText="1"/>
    </xf>
    <xf numFmtId="0" fontId="11" fillId="8" borderId="5" xfId="0" applyFont="1" applyFill="1" applyBorder="1" applyAlignment="1">
      <alignment horizontal="left" vertical="center" wrapText="1"/>
    </xf>
    <xf numFmtId="0" fontId="12" fillId="8" borderId="6" xfId="0" applyFont="1" applyFill="1" applyBorder="1" applyAlignment="1">
      <alignment horizontal="left" vertical="center" wrapText="1"/>
    </xf>
    <xf numFmtId="0" fontId="11" fillId="8" borderId="4" xfId="0" applyFont="1" applyFill="1" applyBorder="1" applyAlignment="1">
      <alignment horizontal="center" vertical="center"/>
    </xf>
    <xf numFmtId="0" fontId="11" fillId="8" borderId="5" xfId="0" applyFont="1" applyFill="1" applyBorder="1" applyAlignment="1">
      <alignment horizontal="center" vertical="center"/>
    </xf>
    <xf numFmtId="0" fontId="11" fillId="7" borderId="4" xfId="0" applyFont="1" applyFill="1" applyBorder="1" applyAlignment="1">
      <alignment horizontal="left" vertical="center" wrapText="1"/>
    </xf>
    <xf numFmtId="0" fontId="11" fillId="7" borderId="5" xfId="0" applyFont="1" applyFill="1" applyBorder="1" applyAlignment="1">
      <alignment horizontal="left" vertical="center" wrapText="1"/>
    </xf>
    <xf numFmtId="0" fontId="11" fillId="10" borderId="4" xfId="0" applyFont="1" applyFill="1" applyBorder="1" applyAlignment="1">
      <alignment horizontal="center" vertical="center"/>
    </xf>
    <xf numFmtId="0" fontId="11" fillId="10" borderId="5" xfId="0" applyFont="1" applyFill="1" applyBorder="1" applyAlignment="1">
      <alignment horizontal="center" vertical="center"/>
    </xf>
    <xf numFmtId="0" fontId="11" fillId="11" borderId="7" xfId="0" applyFont="1" applyFill="1" applyBorder="1" applyAlignment="1">
      <alignment horizontal="left" vertical="center" wrapText="1"/>
    </xf>
    <xf numFmtId="0" fontId="11" fillId="11" borderId="8" xfId="0" applyFont="1" applyFill="1" applyBorder="1" applyAlignment="1">
      <alignment horizontal="left" vertical="center" wrapText="1"/>
    </xf>
    <xf numFmtId="0" fontId="12" fillId="11" borderId="9" xfId="0" applyFont="1" applyFill="1" applyBorder="1" applyAlignment="1">
      <alignment horizontal="left" vertical="center" wrapText="1"/>
    </xf>
    <xf numFmtId="0" fontId="11" fillId="12" borderId="7" xfId="0" applyFont="1" applyFill="1" applyBorder="1" applyAlignment="1">
      <alignment horizontal="center" vertical="center"/>
    </xf>
    <xf numFmtId="0" fontId="11" fillId="12" borderId="8" xfId="0" applyFont="1" applyFill="1" applyBorder="1" applyAlignment="1">
      <alignment horizontal="center" vertical="center"/>
    </xf>
    <xf numFmtId="0" fontId="12" fillId="12" borderId="9" xfId="0" applyFont="1" applyFill="1" applyBorder="1" applyAlignment="1">
      <alignment horizontal="left" vertical="center" wrapText="1"/>
    </xf>
    <xf numFmtId="0" fontId="12" fillId="10" borderId="5" xfId="0" applyFont="1" applyFill="1" applyBorder="1" applyAlignment="1">
      <alignment horizontal="left" vertical="center" wrapText="1"/>
    </xf>
    <xf numFmtId="0" fontId="12" fillId="8" borderId="5" xfId="0" applyFont="1" applyFill="1" applyBorder="1" applyAlignment="1">
      <alignment horizontal="left" vertical="center" wrapText="1"/>
    </xf>
    <xf numFmtId="0" fontId="11" fillId="6" borderId="7" xfId="0" applyFont="1" applyFill="1" applyBorder="1" applyAlignment="1">
      <alignment horizontal="left" vertical="center" wrapText="1"/>
    </xf>
    <xf numFmtId="0" fontId="12" fillId="6" borderId="8" xfId="0" applyFont="1" applyFill="1" applyBorder="1" applyAlignment="1">
      <alignment horizontal="left" vertical="center" wrapText="1"/>
    </xf>
    <xf numFmtId="0" fontId="12" fillId="6" borderId="9" xfId="0" applyFont="1" applyFill="1" applyBorder="1" applyAlignment="1">
      <alignment horizontal="left" vertical="center" wrapText="1"/>
    </xf>
    <xf numFmtId="0" fontId="11" fillId="6" borderId="4" xfId="0" applyFont="1" applyFill="1" applyBorder="1" applyAlignment="1">
      <alignment horizontal="center" vertical="center"/>
    </xf>
    <xf numFmtId="0" fontId="12" fillId="6" borderId="5" xfId="0" applyFont="1" applyFill="1" applyBorder="1" applyAlignment="1">
      <alignment horizontal="center" vertical="center"/>
    </xf>
    <xf numFmtId="0" fontId="12" fillId="6" borderId="6" xfId="0" applyFont="1" applyFill="1" applyBorder="1" applyAlignment="1">
      <alignment horizontal="center" vertical="center"/>
    </xf>
    <xf numFmtId="0" fontId="11" fillId="5" borderId="4" xfId="0" applyFont="1" applyFill="1" applyBorder="1" applyAlignment="1">
      <alignment horizontal="center" vertical="center"/>
    </xf>
    <xf numFmtId="0" fontId="12" fillId="5" borderId="5" xfId="0" applyFont="1" applyFill="1" applyBorder="1" applyAlignment="1">
      <alignment horizontal="center" vertical="center"/>
    </xf>
    <xf numFmtId="0" fontId="12" fillId="5" borderId="6" xfId="0" applyFont="1" applyFill="1" applyBorder="1" applyAlignment="1">
      <alignment horizontal="center" vertical="center"/>
    </xf>
    <xf numFmtId="0" fontId="11" fillId="12" borderId="4" xfId="0" applyFont="1" applyFill="1" applyBorder="1" applyAlignment="1">
      <alignment horizontal="center" vertical="center"/>
    </xf>
    <xf numFmtId="0" fontId="12" fillId="12" borderId="5" xfId="0" applyFont="1" applyFill="1" applyBorder="1" applyAlignment="1">
      <alignment horizontal="center" vertical="center"/>
    </xf>
    <xf numFmtId="0" fontId="12" fillId="12" borderId="6" xfId="0" applyFont="1" applyFill="1" applyBorder="1" applyAlignment="1">
      <alignment horizontal="center" vertical="center"/>
    </xf>
    <xf numFmtId="0" fontId="11" fillId="13" borderId="4" xfId="0" applyFont="1" applyFill="1" applyBorder="1" applyAlignment="1">
      <alignment horizontal="center" vertical="center"/>
    </xf>
    <xf numFmtId="0" fontId="12" fillId="13" borderId="5" xfId="0" applyFont="1" applyFill="1" applyBorder="1" applyAlignment="1">
      <alignment horizontal="center" vertical="center"/>
    </xf>
    <xf numFmtId="0" fontId="12" fillId="13" borderId="6" xfId="0" applyFont="1" applyFill="1" applyBorder="1" applyAlignment="1">
      <alignment horizontal="center" vertical="center"/>
    </xf>
    <xf numFmtId="0" fontId="12" fillId="8" borderId="5" xfId="0" applyFont="1" applyFill="1" applyBorder="1" applyAlignment="1">
      <alignment horizontal="center" vertical="center"/>
    </xf>
    <xf numFmtId="0" fontId="12" fillId="8" borderId="6" xfId="0" applyFont="1" applyFill="1" applyBorder="1" applyAlignment="1">
      <alignment horizontal="center" vertical="center"/>
    </xf>
    <xf numFmtId="0" fontId="11" fillId="11" borderId="7" xfId="0" applyFont="1" applyFill="1" applyBorder="1" applyAlignment="1">
      <alignment horizontal="center" vertical="center"/>
    </xf>
    <xf numFmtId="0" fontId="12" fillId="11" borderId="8" xfId="0" applyFont="1" applyFill="1" applyBorder="1" applyAlignment="1">
      <alignment horizontal="center" vertical="center"/>
    </xf>
    <xf numFmtId="0" fontId="12" fillId="11" borderId="9" xfId="0" applyFont="1" applyFill="1" applyBorder="1" applyAlignment="1">
      <alignment horizontal="center" vertical="center"/>
    </xf>
    <xf numFmtId="0" fontId="12" fillId="11" borderId="5" xfId="0" applyFont="1" applyFill="1" applyBorder="1" applyAlignment="1">
      <alignment horizontal="center" vertical="center"/>
    </xf>
    <xf numFmtId="0" fontId="12" fillId="11" borderId="6" xfId="0" applyFont="1" applyFill="1" applyBorder="1" applyAlignment="1">
      <alignment horizontal="center" vertical="center"/>
    </xf>
    <xf numFmtId="0" fontId="11" fillId="13" borderId="7" xfId="0" applyFont="1" applyFill="1" applyBorder="1" applyAlignment="1">
      <alignment horizontal="center" vertical="center"/>
    </xf>
    <xf numFmtId="0" fontId="12" fillId="13" borderId="8" xfId="0" applyFont="1" applyFill="1" applyBorder="1" applyAlignment="1">
      <alignment horizontal="center" vertical="center"/>
    </xf>
    <xf numFmtId="0" fontId="12" fillId="13" borderId="9" xfId="0" applyFont="1" applyFill="1" applyBorder="1" applyAlignment="1">
      <alignment horizontal="center" vertical="center"/>
    </xf>
    <xf numFmtId="0" fontId="37" fillId="0" borderId="0" xfId="0" applyFont="1" applyAlignment="1">
      <alignment horizontal="right" vertical="center" wrapText="1"/>
    </xf>
    <xf numFmtId="0" fontId="39" fillId="21" borderId="10" xfId="0" applyFont="1" applyFill="1" applyBorder="1" applyAlignment="1">
      <alignment horizontal="center" vertical="center" wrapText="1"/>
    </xf>
    <xf numFmtId="0" fontId="39" fillId="22" borderId="10" xfId="0" applyFont="1" applyFill="1" applyBorder="1" applyAlignment="1">
      <alignment horizontal="center" vertical="center" wrapText="1"/>
    </xf>
    <xf numFmtId="0" fontId="40" fillId="23" borderId="10" xfId="0" applyFont="1" applyFill="1" applyBorder="1" applyAlignment="1">
      <alignment horizontal="center" vertical="center" wrapText="1"/>
    </xf>
    <xf numFmtId="0" fontId="40" fillId="24" borderId="10" xfId="0" applyFont="1" applyFill="1" applyBorder="1" applyAlignment="1">
      <alignment horizontal="center" vertical="center" wrapText="1"/>
    </xf>
    <xf numFmtId="0" fontId="40" fillId="25" borderId="10" xfId="0" applyFont="1" applyFill="1" applyBorder="1" applyAlignment="1">
      <alignment horizontal="center" vertical="center" wrapText="1"/>
    </xf>
    <xf numFmtId="0" fontId="39" fillId="26" borderId="10" xfId="0" applyFont="1" applyFill="1" applyBorder="1" applyAlignment="1">
      <alignment horizontal="center" vertical="center" wrapText="1"/>
    </xf>
    <xf numFmtId="0" fontId="39" fillId="27" borderId="10" xfId="0" applyFont="1" applyFill="1" applyBorder="1" applyAlignment="1">
      <alignment horizontal="center" vertical="center" wrapText="1"/>
    </xf>
    <xf numFmtId="0" fontId="41" fillId="23" borderId="11" xfId="0" applyFont="1" applyFill="1" applyBorder="1" applyAlignment="1">
      <alignment horizontal="center" vertical="center"/>
    </xf>
    <xf numFmtId="0" fontId="37" fillId="0" borderId="0" xfId="0" applyFont="1" applyAlignment="1">
      <alignment vertical="center"/>
    </xf>
    <xf numFmtId="0" fontId="39" fillId="28" borderId="10" xfId="0" applyFont="1" applyFill="1" applyBorder="1" applyAlignment="1">
      <alignment horizontal="center" vertical="center" wrapText="1"/>
    </xf>
    <xf numFmtId="0" fontId="39" fillId="29" borderId="10" xfId="0" applyFont="1" applyFill="1" applyBorder="1" applyAlignment="1">
      <alignment horizontal="center" vertical="center" wrapText="1"/>
    </xf>
    <xf numFmtId="0" fontId="40" fillId="27" borderId="10" xfId="0" applyFont="1" applyFill="1" applyBorder="1" applyAlignment="1">
      <alignment horizontal="center" vertical="center" wrapText="1"/>
    </xf>
    <xf numFmtId="0" fontId="40" fillId="22" borderId="10" xfId="0" applyFont="1" applyFill="1" applyBorder="1" applyAlignment="1">
      <alignment horizontal="center" vertical="center" wrapText="1"/>
    </xf>
    <xf numFmtId="0" fontId="42" fillId="0" borderId="0" xfId="0" applyFont="1" applyAlignment="1">
      <alignment vertical="center"/>
    </xf>
    <xf numFmtId="0" fontId="40" fillId="30" borderId="10" xfId="0" applyFont="1" applyFill="1" applyBorder="1" applyAlignment="1">
      <alignment horizontal="center" vertical="center" wrapText="1"/>
    </xf>
    <xf numFmtId="0" fontId="40" fillId="28" borderId="10" xfId="0" applyFont="1" applyFill="1" applyBorder="1" applyAlignment="1">
      <alignment horizontal="center" vertical="center" wrapText="1"/>
    </xf>
    <xf numFmtId="0" fontId="40" fillId="29" borderId="10" xfId="0" applyFont="1" applyFill="1" applyBorder="1" applyAlignment="1">
      <alignment horizontal="center" vertical="center" wrapText="1"/>
    </xf>
    <xf numFmtId="0" fontId="40" fillId="26" borderId="10" xfId="0" applyFont="1" applyFill="1" applyBorder="1" applyAlignment="1">
      <alignment horizontal="center" vertical="center" wrapText="1"/>
    </xf>
    <xf numFmtId="0" fontId="43" fillId="26" borderId="11" xfId="0" applyFont="1" applyFill="1" applyBorder="1" applyAlignment="1">
      <alignment horizontal="center" vertical="center"/>
    </xf>
    <xf numFmtId="0" fontId="40" fillId="31" borderId="10" xfId="0" applyFont="1" applyFill="1" applyBorder="1" applyAlignment="1">
      <alignment horizontal="center" vertical="center" wrapText="1"/>
    </xf>
    <xf numFmtId="0" fontId="44" fillId="0" borderId="0" xfId="0" applyFont="1" applyAlignment="1">
      <alignment horizontal="center" vertical="top"/>
    </xf>
    <xf numFmtId="0" fontId="41" fillId="30" borderId="11" xfId="0" applyFont="1" applyFill="1" applyBorder="1" applyAlignment="1">
      <alignment horizontal="center" vertical="center"/>
    </xf>
    <xf numFmtId="0" fontId="39" fillId="32" borderId="12" xfId="0" applyFont="1" applyFill="1" applyBorder="1" applyAlignment="1">
      <alignment horizontal="center" vertical="center"/>
    </xf>
    <xf numFmtId="0" fontId="46" fillId="33" borderId="13" xfId="0" applyFont="1" applyFill="1" applyBorder="1" applyAlignment="1">
      <alignment horizontal="center" vertical="center"/>
    </xf>
    <xf numFmtId="0" fontId="46" fillId="33" borderId="13" xfId="0" applyFont="1" applyFill="1" applyBorder="1" applyAlignment="1">
      <alignment horizontal="left" vertical="center"/>
    </xf>
    <xf numFmtId="0" fontId="39" fillId="26" borderId="13" xfId="0" applyFont="1" applyFill="1" applyBorder="1" applyAlignment="1">
      <alignment horizontal="center" vertical="center"/>
    </xf>
    <xf numFmtId="0" fontId="46" fillId="9" borderId="13" xfId="0" applyFont="1" applyFill="1" applyBorder="1" applyAlignment="1">
      <alignment horizontal="center" vertical="center"/>
    </xf>
    <xf numFmtId="0" fontId="46" fillId="9" borderId="13" xfId="0" applyFont="1" applyFill="1" applyBorder="1" applyAlignment="1">
      <alignment horizontal="left" vertical="center"/>
    </xf>
    <xf numFmtId="0" fontId="39" fillId="23" borderId="13" xfId="0" applyFont="1" applyFill="1" applyBorder="1" applyAlignment="1">
      <alignment horizontal="center" vertical="center"/>
    </xf>
    <xf numFmtId="0" fontId="39" fillId="30" borderId="13" xfId="0" applyFont="1" applyFill="1" applyBorder="1" applyAlignment="1">
      <alignment horizontal="center" vertical="center"/>
    </xf>
    <xf numFmtId="164" fontId="4" fillId="5" borderId="5" xfId="0" applyNumberFormat="1" applyFont="1" applyFill="1" applyBorder="1" applyAlignment="1">
      <alignment horizontal="center" vertical="center" wrapText="1"/>
    </xf>
    <xf numFmtId="164" fontId="4" fillId="9" borderId="5" xfId="0" applyNumberFormat="1" applyFont="1" applyFill="1" applyBorder="1" applyAlignment="1">
      <alignment horizontal="center" vertical="center" wrapText="1"/>
    </xf>
    <xf numFmtId="164" fontId="4" fillId="5" borderId="8" xfId="0" applyNumberFormat="1" applyFont="1" applyFill="1" applyBorder="1" applyAlignment="1">
      <alignment horizontal="center" vertical="center" wrapText="1"/>
    </xf>
    <xf numFmtId="0" fontId="21" fillId="2" borderId="0" xfId="0" applyFont="1" applyFill="1" applyAlignment="1">
      <alignment horizontal="center" vertical="center"/>
    </xf>
    <xf numFmtId="0" fontId="0" fillId="0" borderId="0" xfId="0"/>
    <xf numFmtId="0" fontId="7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6" fillId="5" borderId="0" xfId="0" applyFont="1" applyFill="1" applyAlignment="1">
      <alignment horizontal="left" vertical="center"/>
    </xf>
    <xf numFmtId="0" fontId="3" fillId="4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0" fontId="23" fillId="6" borderId="0" xfId="0" applyFont="1" applyFill="1" applyAlignment="1">
      <alignment horizontal="center" vertical="center"/>
    </xf>
    <xf numFmtId="0" fontId="0" fillId="10" borderId="0" xfId="0" applyFill="1"/>
    <xf numFmtId="0" fontId="22" fillId="2" borderId="0" xfId="0" applyFont="1" applyFill="1" applyAlignment="1">
      <alignment horizontal="center" vertical="center"/>
    </xf>
    <xf numFmtId="0" fontId="28" fillId="11" borderId="0" xfId="0" applyFont="1" applyFill="1" applyAlignment="1">
      <alignment horizontal="center" vertical="center"/>
    </xf>
    <xf numFmtId="0" fontId="33" fillId="10" borderId="0" xfId="0" applyFont="1" applyFill="1" applyAlignment="1">
      <alignment horizontal="center" vertical="center"/>
    </xf>
    <xf numFmtId="0" fontId="27" fillId="5" borderId="0" xfId="0" applyFont="1" applyFill="1" applyAlignment="1">
      <alignment horizontal="center" vertical="center"/>
    </xf>
    <xf numFmtId="0" fontId="32" fillId="12" borderId="0" xfId="0" applyFont="1" applyFill="1" applyAlignment="1">
      <alignment horizontal="center" vertical="center"/>
    </xf>
    <xf numFmtId="0" fontId="0" fillId="11" borderId="0" xfId="0" applyFill="1"/>
    <xf numFmtId="0" fontId="30" fillId="8" borderId="0" xfId="0" applyFont="1" applyFill="1" applyAlignment="1">
      <alignment horizontal="center" vertical="center"/>
    </xf>
    <xf numFmtId="0" fontId="0" fillId="12" borderId="0" xfId="0" applyFill="1"/>
    <xf numFmtId="0" fontId="0" fillId="6" borderId="0" xfId="0" applyFill="1"/>
    <xf numFmtId="0" fontId="0" fillId="17" borderId="0" xfId="0" applyFill="1"/>
    <xf numFmtId="0" fontId="23" fillId="5" borderId="0" xfId="0" applyFont="1" applyFill="1" applyAlignment="1">
      <alignment horizontal="center" vertical="center"/>
    </xf>
    <xf numFmtId="0" fontId="34" fillId="12" borderId="0" xfId="0" applyFont="1" applyFill="1" applyAlignment="1">
      <alignment horizontal="center" vertical="center"/>
    </xf>
    <xf numFmtId="0" fontId="0" fillId="15" borderId="0" xfId="0" applyFill="1"/>
    <xf numFmtId="0" fontId="0" fillId="16" borderId="0" xfId="0" applyFill="1"/>
    <xf numFmtId="0" fontId="0" fillId="20" borderId="0" xfId="0" applyFill="1"/>
    <xf numFmtId="0" fontId="0" fillId="18" borderId="0" xfId="0" applyFill="1"/>
    <xf numFmtId="0" fontId="27" fillId="6" borderId="0" xfId="0" applyFont="1" applyFill="1" applyAlignment="1">
      <alignment horizontal="center" vertical="center"/>
    </xf>
    <xf numFmtId="0" fontId="29" fillId="7" borderId="0" xfId="0" applyFont="1" applyFill="1" applyAlignment="1">
      <alignment horizontal="center" vertical="center"/>
    </xf>
    <xf numFmtId="0" fontId="31" fillId="10" borderId="0" xfId="0" applyFont="1" applyFill="1" applyAlignment="1">
      <alignment horizontal="center" vertical="center"/>
    </xf>
    <xf numFmtId="0" fontId="24" fillId="11" borderId="0" xfId="0" applyFont="1" applyFill="1" applyAlignment="1">
      <alignment horizontal="center" vertical="center"/>
    </xf>
    <xf numFmtId="0" fontId="0" fillId="19" borderId="0" xfId="0" applyFill="1"/>
    <xf numFmtId="0" fontId="0" fillId="8" borderId="0" xfId="0" applyFill="1"/>
    <xf numFmtId="0" fontId="0" fillId="5" borderId="0" xfId="0" applyFill="1"/>
    <xf numFmtId="0" fontId="0" fillId="7" borderId="0" xfId="0" applyFill="1"/>
    <xf numFmtId="0" fontId="26" fillId="8" borderId="0" xfId="0" applyFont="1" applyFill="1" applyAlignment="1">
      <alignment horizontal="center" vertical="center"/>
    </xf>
    <xf numFmtId="0" fontId="25" fillId="7" borderId="0" xfId="0" applyFont="1" applyFill="1" applyAlignment="1">
      <alignment horizontal="center" vertical="center"/>
    </xf>
    <xf numFmtId="0" fontId="45" fillId="0" borderId="0" xfId="0" applyFont="1" applyAlignment="1">
      <alignment horizontal="left" vertical="center"/>
    </xf>
    <xf numFmtId="0" fontId="36" fillId="0" borderId="0" xfId="0" applyFont="1" applyAlignment="1">
      <alignment horizontal="left" vertical="center"/>
    </xf>
    <xf numFmtId="0" fontId="37" fillId="0" borderId="0" xfId="0" applyFont="1" applyAlignment="1">
      <alignment horizontal="center" vertical="center"/>
    </xf>
    <xf numFmtId="0" fontId="38" fillId="0" borderId="0" xfId="0" applyFont="1" applyAlignment="1">
      <alignment horizontal="left" vertical="center"/>
    </xf>
    <xf numFmtId="0" fontId="38" fillId="0" borderId="0" xfId="0" applyFont="1" applyAlignment="1">
      <alignment horizontal="center" vertical="center" textRotation="90"/>
    </xf>
    <xf numFmtId="0" fontId="35" fillId="0" borderId="0" xfId="0" applyFont="1" applyAlignment="1">
      <alignment horizontal="center" vertical="center"/>
    </xf>
  </cellXfs>
  <cellStyles count="1">
    <cellStyle name="Normal" xfId="0" builtinId="0"/>
  </cellStyles>
  <dxfs count="24">
    <dxf>
      <font>
        <b/>
        <sz val="9"/>
        <color rgb="FFFFFFFF"/>
        <name val="Arial"/>
        <charset val="1"/>
      </font>
      <fill>
        <patternFill>
          <bgColor rgb="FF33CC33"/>
        </patternFill>
      </fill>
    </dxf>
    <dxf>
      <font>
        <b/>
        <sz val="9"/>
        <color rgb="FF333333"/>
        <name val="Arial"/>
        <charset val="1"/>
      </font>
      <fill>
        <patternFill>
          <bgColor rgb="FFFFCC00"/>
        </patternFill>
      </fill>
    </dxf>
    <dxf>
      <font>
        <b/>
        <sz val="9"/>
        <color rgb="FFFFFFFF"/>
        <name val="Arial"/>
        <charset val="1"/>
      </font>
      <fill>
        <patternFill>
          <bgColor rgb="FF990000"/>
        </patternFill>
      </fill>
    </dxf>
    <dxf>
      <font>
        <b/>
        <sz val="9"/>
        <color rgb="FFFFFFFF"/>
        <name val="Arial"/>
        <charset val="1"/>
      </font>
      <fill>
        <patternFill>
          <bgColor rgb="FFFF3300"/>
        </patternFill>
      </fill>
    </dxf>
    <dxf>
      <font>
        <b/>
        <sz val="8"/>
        <name val="Calibri"/>
        <charset val="1"/>
      </font>
      <fill>
        <patternFill>
          <bgColor rgb="FFD5F0ED"/>
        </patternFill>
      </fill>
    </dxf>
    <dxf>
      <font>
        <b/>
        <sz val="8"/>
        <name val="Calibri"/>
        <charset val="1"/>
      </font>
      <fill>
        <patternFill>
          <bgColor rgb="FFC6EFCE"/>
        </patternFill>
      </fill>
    </dxf>
    <dxf>
      <font>
        <b/>
        <sz val="8"/>
        <name val="Calibri"/>
        <charset val="1"/>
      </font>
      <fill>
        <patternFill>
          <bgColor rgb="FFFFF2CC"/>
        </patternFill>
      </fill>
    </dxf>
    <dxf>
      <font>
        <b/>
        <sz val="8"/>
        <name val="Calibri"/>
        <charset val="1"/>
      </font>
      <fill>
        <patternFill>
          <bgColor rgb="FFFCE4D6"/>
        </patternFill>
      </fill>
    </dxf>
    <dxf>
      <font>
        <b/>
        <sz val="8"/>
        <name val="Calibri"/>
        <charset val="1"/>
      </font>
      <fill>
        <patternFill>
          <bgColor rgb="FFFFD7D7"/>
        </patternFill>
      </fill>
    </dxf>
    <dxf>
      <font>
        <b/>
        <sz val="8"/>
        <name val="Calibri"/>
        <charset val="1"/>
      </font>
      <fill>
        <patternFill>
          <bgColor rgb="FFD5F0ED"/>
        </patternFill>
      </fill>
    </dxf>
    <dxf>
      <font>
        <b/>
        <sz val="8"/>
        <name val="Calibri"/>
        <charset val="1"/>
      </font>
      <fill>
        <patternFill>
          <bgColor rgb="FFC6EFCE"/>
        </patternFill>
      </fill>
    </dxf>
    <dxf>
      <font>
        <b/>
        <sz val="8"/>
        <name val="Calibri"/>
        <charset val="1"/>
      </font>
      <fill>
        <patternFill>
          <bgColor rgb="FFFFF2CC"/>
        </patternFill>
      </fill>
    </dxf>
    <dxf>
      <font>
        <b/>
        <sz val="8"/>
        <name val="Calibri"/>
        <charset val="1"/>
      </font>
      <fill>
        <patternFill>
          <bgColor rgb="FFFCE4D6"/>
        </patternFill>
      </fill>
    </dxf>
    <dxf>
      <font>
        <b/>
        <sz val="8"/>
        <name val="Calibri"/>
        <charset val="1"/>
      </font>
      <fill>
        <patternFill>
          <bgColor rgb="FFFFD7D7"/>
        </patternFill>
      </fill>
    </dxf>
    <dxf>
      <font>
        <b/>
        <sz val="8"/>
        <name val="Calibri"/>
        <charset val="1"/>
      </font>
      <fill>
        <patternFill>
          <bgColor rgb="FFD5F0ED"/>
        </patternFill>
      </fill>
    </dxf>
    <dxf>
      <font>
        <b/>
        <sz val="8"/>
        <name val="Calibri"/>
        <charset val="1"/>
      </font>
      <fill>
        <patternFill>
          <bgColor rgb="FFC6EFCE"/>
        </patternFill>
      </fill>
    </dxf>
    <dxf>
      <font>
        <b/>
        <sz val="8"/>
        <name val="Calibri"/>
        <charset val="1"/>
      </font>
      <fill>
        <patternFill>
          <bgColor rgb="FFFFF2CC"/>
        </patternFill>
      </fill>
    </dxf>
    <dxf>
      <font>
        <b/>
        <sz val="8"/>
        <name val="Calibri"/>
        <charset val="1"/>
      </font>
      <fill>
        <patternFill>
          <bgColor rgb="FFFCE4D6"/>
        </patternFill>
      </fill>
    </dxf>
    <dxf>
      <font>
        <b/>
        <sz val="8"/>
        <name val="Calibri"/>
        <charset val="1"/>
      </font>
      <fill>
        <patternFill>
          <bgColor rgb="FFFFD7D7"/>
        </patternFill>
      </fill>
    </dxf>
    <dxf>
      <font>
        <b/>
        <sz val="8"/>
        <name val="Calibri"/>
        <charset val="1"/>
      </font>
      <fill>
        <patternFill>
          <bgColor rgb="FFD5F0ED"/>
        </patternFill>
      </fill>
    </dxf>
    <dxf>
      <font>
        <b/>
        <sz val="8"/>
        <name val="Calibri"/>
        <charset val="1"/>
      </font>
      <fill>
        <patternFill>
          <bgColor rgb="FFC6EFCE"/>
        </patternFill>
      </fill>
    </dxf>
    <dxf>
      <font>
        <b/>
        <sz val="8"/>
        <name val="Calibri"/>
        <charset val="1"/>
      </font>
      <fill>
        <patternFill>
          <bgColor rgb="FFFFF2CC"/>
        </patternFill>
      </fill>
    </dxf>
    <dxf>
      <font>
        <b/>
        <sz val="8"/>
        <name val="Calibri"/>
        <charset val="1"/>
      </font>
      <fill>
        <patternFill>
          <bgColor rgb="FFFCE4D6"/>
        </patternFill>
      </fill>
    </dxf>
    <dxf>
      <font>
        <b/>
        <sz val="8"/>
        <name val="Calibri"/>
        <charset val="1"/>
      </font>
      <fill>
        <patternFill>
          <bgColor rgb="FFFFD7D7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CC0000"/>
      <rgbColor rgb="FF00FF00"/>
      <rgbColor rgb="FF0000FF"/>
      <rgbColor rgb="FFFFFF00"/>
      <rgbColor rgb="FFFF00FF"/>
      <rgbColor rgb="FF00FFFF"/>
      <rgbColor rgb="FF7B0000"/>
      <rgbColor rgb="FF00AA00"/>
      <rgbColor rgb="FF1E4620"/>
      <rgbColor rgb="FF7F6000"/>
      <rgbColor rgb="FFC00000"/>
      <rgbColor rgb="FF1F7A6E"/>
      <rgbColor rgb="FFC0C0C0"/>
      <rgbColor rgb="FF6B6B6B"/>
      <rgbColor rgb="FFEBF4FB"/>
      <rgbColor rgb="FFFF3300"/>
      <rgbColor rgb="FFFFF2CC"/>
      <rgbColor rgb="FFD5F0ED"/>
      <rgbColor rgb="FF660066"/>
      <rgbColor rgb="FFFFA500"/>
      <rgbColor rgb="FF2E6DA4"/>
      <rgbColor rgb="FFCCCCCC"/>
      <rgbColor rgb="FF000080"/>
      <rgbColor rgb="FFFF00FF"/>
      <rgbColor rgb="FFF4F7FB"/>
      <rgbColor rgb="FF00FFFF"/>
      <rgbColor rgb="FF800080"/>
      <rgbColor rgb="FF990000"/>
      <rgbColor rgb="FF375623"/>
      <rgbColor rgb="FF0000FF"/>
      <rgbColor rgb="FF00CCFF"/>
      <rgbColor rgb="FFD6E8F7"/>
      <rgbColor rgb="FFC6EFCE"/>
      <rgbColor rgb="FFFCE4D6"/>
      <rgbColor rgb="FFE0E0E0"/>
      <rgbColor rgb="FFF4F4F4"/>
      <rgbColor rgb="FFE8D5F5"/>
      <rgbColor rgb="FFFFD7D7"/>
      <rgbColor rgb="FF4A6FA5"/>
      <rgbColor rgb="FF33CCCC"/>
      <rgbColor rgb="FF99CC00"/>
      <rgbColor rgb="FFFFCC00"/>
      <rgbColor rgb="FFFF9900"/>
      <rgbColor rgb="FFFF6600"/>
      <rgbColor rgb="FF5A6A7A"/>
      <rgbColor rgb="FFBF8F00"/>
      <rgbColor rgb="FF1A3A5C"/>
      <rgbColor rgb="FF33CC33"/>
      <rgbColor rgb="FF0D2137"/>
      <rgbColor rgb="FF2D2D2D"/>
      <rgbColor rgb="FFC55A11"/>
      <rgbColor rgb="FF993366"/>
      <rgbColor rgb="FF1F2D3D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U22"/>
  <sheetViews>
    <sheetView showGridLines="0" tabSelected="1" zoomScaleNormal="100" workbookViewId="0">
      <selection activeCell="N7" sqref="N7"/>
    </sheetView>
  </sheetViews>
  <sheetFormatPr defaultColWidth="8.6328125" defaultRowHeight="14.5" x14ac:dyDescent="0.35"/>
  <cols>
    <col min="1" max="1" width="8" customWidth="1"/>
    <col min="2" max="2" width="26" customWidth="1"/>
    <col min="3" max="3" width="38" customWidth="1"/>
    <col min="4" max="5" width="18" customWidth="1"/>
    <col min="6" max="7" width="10" customWidth="1"/>
    <col min="8" max="8" width="11" customWidth="1"/>
    <col min="9" max="9" width="13" customWidth="1"/>
    <col min="10" max="10" width="30" customWidth="1"/>
    <col min="11" max="11" width="14" hidden="1" customWidth="1"/>
    <col min="12" max="12" width="18" customWidth="1"/>
    <col min="13" max="13" width="12" customWidth="1"/>
    <col min="14" max="15" width="11" customWidth="1"/>
    <col min="16" max="16" width="13" customWidth="1"/>
    <col min="17" max="17" width="22" customWidth="1"/>
    <col min="18" max="18" width="18" customWidth="1"/>
    <col min="19" max="19" width="11" hidden="1" customWidth="1"/>
    <col min="20" max="20" width="13" hidden="1" customWidth="1"/>
    <col min="21" max="21" width="12" customWidth="1"/>
  </cols>
  <sheetData>
    <row r="1" spans="1:21" ht="39.75" customHeight="1" x14ac:dyDescent="0.35">
      <c r="A1" s="166" t="s">
        <v>307</v>
      </c>
      <c r="B1" s="161"/>
      <c r="C1" s="161"/>
      <c r="D1" s="161"/>
      <c r="E1" s="161"/>
      <c r="F1" s="161"/>
      <c r="G1" s="161"/>
      <c r="H1" s="161"/>
      <c r="I1" s="161"/>
      <c r="J1" s="161"/>
      <c r="K1" s="161"/>
      <c r="L1" s="161"/>
      <c r="M1" s="161"/>
      <c r="N1" s="161"/>
      <c r="O1" s="161"/>
      <c r="P1" s="161"/>
      <c r="Q1" s="161"/>
      <c r="R1" s="161"/>
      <c r="S1" s="161"/>
      <c r="T1" s="161"/>
      <c r="U1" s="161"/>
    </row>
    <row r="2" spans="1:21" ht="15.75" customHeight="1" x14ac:dyDescent="0.35">
      <c r="A2" s="163" t="s">
        <v>309</v>
      </c>
      <c r="B2" s="161"/>
      <c r="C2" s="161"/>
      <c r="D2" s="161"/>
      <c r="E2" s="161"/>
      <c r="F2" s="161"/>
      <c r="G2" s="161"/>
      <c r="H2" s="161"/>
      <c r="I2" s="161"/>
      <c r="J2" s="161"/>
      <c r="K2" s="161"/>
      <c r="L2" s="161"/>
      <c r="M2" s="161"/>
      <c r="N2" s="161"/>
      <c r="O2" s="161"/>
      <c r="P2" s="161"/>
      <c r="Q2" s="161"/>
      <c r="R2" s="161"/>
      <c r="S2" s="161"/>
      <c r="T2" s="161"/>
      <c r="U2" s="161"/>
    </row>
    <row r="3" spans="1:21" ht="6" customHeight="1" x14ac:dyDescent="0.35"/>
    <row r="4" spans="1:21" ht="15.75" customHeight="1" thickBot="1" x14ac:dyDescent="0.4">
      <c r="A4" s="165" t="s">
        <v>31</v>
      </c>
      <c r="B4" s="161"/>
      <c r="C4" s="161"/>
      <c r="D4" s="165" t="s">
        <v>32</v>
      </c>
      <c r="E4" s="161"/>
      <c r="F4" s="165" t="s">
        <v>33</v>
      </c>
      <c r="G4" s="161"/>
      <c r="H4" s="161"/>
      <c r="I4" s="161"/>
      <c r="J4" s="165" t="s">
        <v>34</v>
      </c>
      <c r="K4" s="161"/>
      <c r="L4" s="161"/>
      <c r="M4" s="165" t="s">
        <v>35</v>
      </c>
      <c r="N4" s="161"/>
      <c r="O4" s="161"/>
      <c r="P4" s="161"/>
      <c r="Q4" s="165" t="s">
        <v>36</v>
      </c>
      <c r="R4" s="161"/>
      <c r="S4" s="161"/>
      <c r="T4" s="165" t="s">
        <v>37</v>
      </c>
      <c r="U4" s="161"/>
    </row>
    <row r="5" spans="1:21" ht="43.5" customHeight="1" thickBot="1" x14ac:dyDescent="0.4">
      <c r="A5" s="1" t="s">
        <v>24</v>
      </c>
      <c r="B5" s="2" t="s">
        <v>25</v>
      </c>
      <c r="C5" s="2" t="s">
        <v>38</v>
      </c>
      <c r="D5" s="2" t="s">
        <v>39</v>
      </c>
      <c r="E5" s="2" t="s">
        <v>40</v>
      </c>
      <c r="F5" s="2" t="s">
        <v>41</v>
      </c>
      <c r="G5" s="2" t="s">
        <v>42</v>
      </c>
      <c r="H5" s="2" t="s">
        <v>43</v>
      </c>
      <c r="I5" s="2" t="s">
        <v>44</v>
      </c>
      <c r="J5" s="2" t="s">
        <v>45</v>
      </c>
      <c r="K5" s="2" t="s">
        <v>46</v>
      </c>
      <c r="L5" s="2" t="s">
        <v>47</v>
      </c>
      <c r="M5" s="2" t="s">
        <v>48</v>
      </c>
      <c r="N5" s="2" t="s">
        <v>49</v>
      </c>
      <c r="O5" s="2" t="s">
        <v>50</v>
      </c>
      <c r="P5" s="2" t="s">
        <v>51</v>
      </c>
      <c r="Q5" s="2" t="s">
        <v>52</v>
      </c>
      <c r="R5" s="2" t="s">
        <v>53</v>
      </c>
      <c r="S5" s="2" t="s">
        <v>54</v>
      </c>
      <c r="T5" s="2" t="s">
        <v>55</v>
      </c>
      <c r="U5" s="3" t="s">
        <v>56</v>
      </c>
    </row>
    <row r="6" spans="1:21" ht="33.75" customHeight="1" x14ac:dyDescent="0.35">
      <c r="A6" s="4" t="s">
        <v>57</v>
      </c>
      <c r="B6" s="5" t="s">
        <v>58</v>
      </c>
      <c r="C6" s="5" t="s">
        <v>59</v>
      </c>
      <c r="D6" s="6" t="s">
        <v>60</v>
      </c>
      <c r="E6" s="5" t="s">
        <v>62</v>
      </c>
      <c r="F6" s="7">
        <v>3</v>
      </c>
      <c r="G6" s="7">
        <v>4</v>
      </c>
      <c r="H6" s="8">
        <f t="shared" ref="H6:H20" si="0">F6*G6</f>
        <v>12</v>
      </c>
      <c r="I6" s="8" t="str">
        <f t="shared" ref="I6:I20" si="1">IF(H6&gt;=20,"Critical",IF(H6&gt;=12,"High",IF(H6&gt;=6,"Medium",IF(H6&gt;=2,"Low","Informational"))))</f>
        <v>High</v>
      </c>
      <c r="J6" s="5" t="s">
        <v>63</v>
      </c>
      <c r="K6" s="9" t="s">
        <v>64</v>
      </c>
      <c r="L6" s="5" t="s">
        <v>62</v>
      </c>
      <c r="M6" s="7">
        <v>3</v>
      </c>
      <c r="N6" s="7">
        <v>3</v>
      </c>
      <c r="O6" s="8">
        <f t="shared" ref="O6:O20" si="2">M6*N6</f>
        <v>9</v>
      </c>
      <c r="P6" s="8" t="str">
        <f t="shared" ref="P6:P20" si="3">IF(O6&gt;=20,"Critical",IF(O6&gt;=12,"High",IF(O6&gt;=6,"Medium",IF(O6&gt;=2,"Low","Informational"))))</f>
        <v>Medium</v>
      </c>
      <c r="Q6" s="5" t="s">
        <v>65</v>
      </c>
      <c r="R6" s="5" t="s">
        <v>62</v>
      </c>
      <c r="S6" s="157">
        <v>46203</v>
      </c>
      <c r="T6" s="157">
        <v>45962</v>
      </c>
      <c r="U6" s="10" t="s">
        <v>66</v>
      </c>
    </row>
    <row r="7" spans="1:21" ht="33.75" customHeight="1" x14ac:dyDescent="0.35">
      <c r="A7" s="11" t="s">
        <v>67</v>
      </c>
      <c r="B7" s="12" t="s">
        <v>68</v>
      </c>
      <c r="C7" s="12" t="s">
        <v>69</v>
      </c>
      <c r="D7" s="8" t="s">
        <v>70</v>
      </c>
      <c r="E7" s="12" t="s">
        <v>71</v>
      </c>
      <c r="F7" s="13">
        <v>3</v>
      </c>
      <c r="G7" s="13">
        <v>5</v>
      </c>
      <c r="H7" s="14">
        <f t="shared" si="0"/>
        <v>15</v>
      </c>
      <c r="I7" s="14" t="str">
        <f t="shared" si="1"/>
        <v>High</v>
      </c>
      <c r="J7" s="12" t="s">
        <v>72</v>
      </c>
      <c r="K7" s="15" t="s">
        <v>73</v>
      </c>
      <c r="L7" s="12" t="s">
        <v>71</v>
      </c>
      <c r="M7" s="13">
        <v>1</v>
      </c>
      <c r="N7" s="13">
        <v>5</v>
      </c>
      <c r="O7" s="14">
        <f t="shared" si="2"/>
        <v>5</v>
      </c>
      <c r="P7" s="14" t="str">
        <f t="shared" si="3"/>
        <v>Low</v>
      </c>
      <c r="Q7" s="12" t="s">
        <v>74</v>
      </c>
      <c r="R7" s="12" t="s">
        <v>71</v>
      </c>
      <c r="S7" s="158">
        <v>46203</v>
      </c>
      <c r="T7" s="158">
        <v>45992</v>
      </c>
      <c r="U7" s="10" t="s">
        <v>66</v>
      </c>
    </row>
    <row r="8" spans="1:21" ht="33.75" customHeight="1" x14ac:dyDescent="0.35">
      <c r="A8" s="4" t="s">
        <v>75</v>
      </c>
      <c r="B8" s="5" t="s">
        <v>76</v>
      </c>
      <c r="C8" s="5" t="s">
        <v>77</v>
      </c>
      <c r="D8" s="8" t="s">
        <v>70</v>
      </c>
      <c r="E8" s="5" t="s">
        <v>78</v>
      </c>
      <c r="F8" s="7">
        <v>3</v>
      </c>
      <c r="G8" s="7">
        <v>5</v>
      </c>
      <c r="H8" s="8">
        <f t="shared" si="0"/>
        <v>15</v>
      </c>
      <c r="I8" s="8" t="str">
        <f t="shared" si="1"/>
        <v>High</v>
      </c>
      <c r="J8" s="5" t="s">
        <v>79</v>
      </c>
      <c r="K8" s="16" t="s">
        <v>80</v>
      </c>
      <c r="L8" s="5" t="s">
        <v>78</v>
      </c>
      <c r="M8" s="7">
        <v>2</v>
      </c>
      <c r="N8" s="7">
        <v>5</v>
      </c>
      <c r="O8" s="8">
        <f t="shared" si="2"/>
        <v>10</v>
      </c>
      <c r="P8" s="8" t="str">
        <f t="shared" si="3"/>
        <v>Medium</v>
      </c>
      <c r="Q8" s="5" t="s">
        <v>81</v>
      </c>
      <c r="R8" s="5" t="s">
        <v>78</v>
      </c>
      <c r="S8" s="157">
        <v>46142</v>
      </c>
      <c r="T8" s="157">
        <v>45976</v>
      </c>
      <c r="U8" s="17" t="s">
        <v>82</v>
      </c>
    </row>
    <row r="9" spans="1:21" ht="33.75" customHeight="1" x14ac:dyDescent="0.35">
      <c r="A9" s="11" t="s">
        <v>83</v>
      </c>
      <c r="B9" s="12" t="s">
        <v>84</v>
      </c>
      <c r="C9" s="12" t="s">
        <v>85</v>
      </c>
      <c r="D9" s="8" t="s">
        <v>70</v>
      </c>
      <c r="E9" s="12" t="s">
        <v>78</v>
      </c>
      <c r="F9" s="13">
        <v>3</v>
      </c>
      <c r="G9" s="13">
        <v>5</v>
      </c>
      <c r="H9" s="14">
        <f t="shared" si="0"/>
        <v>15</v>
      </c>
      <c r="I9" s="14" t="str">
        <f t="shared" si="1"/>
        <v>High</v>
      </c>
      <c r="J9" s="12" t="s">
        <v>86</v>
      </c>
      <c r="K9" s="16" t="s">
        <v>80</v>
      </c>
      <c r="L9" s="12" t="s">
        <v>78</v>
      </c>
      <c r="M9" s="13">
        <v>2</v>
      </c>
      <c r="N9" s="13">
        <v>4</v>
      </c>
      <c r="O9" s="14">
        <f t="shared" si="2"/>
        <v>8</v>
      </c>
      <c r="P9" s="14" t="str">
        <f t="shared" si="3"/>
        <v>Medium</v>
      </c>
      <c r="Q9" s="12" t="s">
        <v>87</v>
      </c>
      <c r="R9" s="12" t="s">
        <v>78</v>
      </c>
      <c r="S9" s="158">
        <v>46173</v>
      </c>
      <c r="T9" s="158">
        <v>45950</v>
      </c>
      <c r="U9" s="17" t="s">
        <v>82</v>
      </c>
    </row>
    <row r="10" spans="1:21" ht="33.75" customHeight="1" x14ac:dyDescent="0.35">
      <c r="A10" s="4" t="s">
        <v>88</v>
      </c>
      <c r="B10" s="5" t="s">
        <v>89</v>
      </c>
      <c r="C10" s="5" t="s">
        <v>90</v>
      </c>
      <c r="D10" s="8" t="s">
        <v>70</v>
      </c>
      <c r="E10" s="5" t="s">
        <v>91</v>
      </c>
      <c r="F10" s="7">
        <v>3</v>
      </c>
      <c r="G10" s="7">
        <v>5</v>
      </c>
      <c r="H10" s="8">
        <f t="shared" si="0"/>
        <v>15</v>
      </c>
      <c r="I10" s="8" t="str">
        <f t="shared" si="1"/>
        <v>High</v>
      </c>
      <c r="J10" s="5" t="s">
        <v>92</v>
      </c>
      <c r="K10" s="16" t="s">
        <v>80</v>
      </c>
      <c r="L10" s="5" t="s">
        <v>91</v>
      </c>
      <c r="M10" s="7">
        <v>2</v>
      </c>
      <c r="N10" s="7">
        <v>4</v>
      </c>
      <c r="O10" s="8">
        <f t="shared" si="2"/>
        <v>8</v>
      </c>
      <c r="P10" s="8" t="str">
        <f t="shared" si="3"/>
        <v>Medium</v>
      </c>
      <c r="Q10" s="5" t="s">
        <v>93</v>
      </c>
      <c r="R10" s="5" t="s">
        <v>91</v>
      </c>
      <c r="S10" s="157">
        <v>46157</v>
      </c>
      <c r="T10" s="157">
        <v>45992</v>
      </c>
      <c r="U10" s="10" t="s">
        <v>66</v>
      </c>
    </row>
    <row r="11" spans="1:21" ht="33.75" customHeight="1" x14ac:dyDescent="0.35">
      <c r="A11" s="11" t="s">
        <v>94</v>
      </c>
      <c r="B11" s="12" t="s">
        <v>95</v>
      </c>
      <c r="C11" s="12" t="s">
        <v>96</v>
      </c>
      <c r="D11" s="8" t="s">
        <v>70</v>
      </c>
      <c r="E11" s="12" t="s">
        <v>78</v>
      </c>
      <c r="F11" s="13">
        <v>3</v>
      </c>
      <c r="G11" s="13">
        <v>4</v>
      </c>
      <c r="H11" s="14">
        <f t="shared" si="0"/>
        <v>12</v>
      </c>
      <c r="I11" s="14" t="str">
        <f t="shared" si="1"/>
        <v>High</v>
      </c>
      <c r="J11" s="12" t="s">
        <v>97</v>
      </c>
      <c r="K11" s="16" t="s">
        <v>80</v>
      </c>
      <c r="L11" s="12" t="s">
        <v>71</v>
      </c>
      <c r="M11" s="13">
        <v>2</v>
      </c>
      <c r="N11" s="13">
        <v>3</v>
      </c>
      <c r="O11" s="14">
        <f t="shared" si="2"/>
        <v>6</v>
      </c>
      <c r="P11" s="14" t="str">
        <f t="shared" si="3"/>
        <v>Medium</v>
      </c>
      <c r="Q11" s="12" t="s">
        <v>98</v>
      </c>
      <c r="R11" s="12" t="s">
        <v>71</v>
      </c>
      <c r="S11" s="158">
        <v>46234</v>
      </c>
      <c r="T11" s="158">
        <v>45901</v>
      </c>
      <c r="U11" s="10" t="s">
        <v>66</v>
      </c>
    </row>
    <row r="12" spans="1:21" ht="33.75" customHeight="1" x14ac:dyDescent="0.35">
      <c r="A12" s="4" t="s">
        <v>99</v>
      </c>
      <c r="B12" s="5" t="s">
        <v>100</v>
      </c>
      <c r="C12" s="5" t="s">
        <v>101</v>
      </c>
      <c r="D12" s="18" t="s">
        <v>102</v>
      </c>
      <c r="E12" s="5" t="s">
        <v>103</v>
      </c>
      <c r="F12" s="7">
        <v>4</v>
      </c>
      <c r="G12" s="7">
        <v>4</v>
      </c>
      <c r="H12" s="8">
        <f t="shared" si="0"/>
        <v>16</v>
      </c>
      <c r="I12" s="8" t="str">
        <f t="shared" si="1"/>
        <v>High</v>
      </c>
      <c r="J12" s="5" t="s">
        <v>104</v>
      </c>
      <c r="K12" s="9" t="s">
        <v>64</v>
      </c>
      <c r="L12" s="5" t="s">
        <v>103</v>
      </c>
      <c r="M12" s="7">
        <v>3</v>
      </c>
      <c r="N12" s="7">
        <v>4</v>
      </c>
      <c r="O12" s="8">
        <f t="shared" si="2"/>
        <v>12</v>
      </c>
      <c r="P12" s="8" t="str">
        <f t="shared" si="3"/>
        <v>High</v>
      </c>
      <c r="Q12" s="5" t="s">
        <v>105</v>
      </c>
      <c r="R12" s="5" t="s">
        <v>103</v>
      </c>
      <c r="S12" s="157">
        <v>46203</v>
      </c>
      <c r="T12" s="157">
        <v>45931</v>
      </c>
      <c r="U12" s="17" t="s">
        <v>82</v>
      </c>
    </row>
    <row r="13" spans="1:21" ht="33.75" customHeight="1" x14ac:dyDescent="0.35">
      <c r="A13" s="11" t="s">
        <v>106</v>
      </c>
      <c r="B13" s="12" t="s">
        <v>107</v>
      </c>
      <c r="C13" s="12" t="s">
        <v>108</v>
      </c>
      <c r="D13" s="18" t="s">
        <v>102</v>
      </c>
      <c r="E13" s="12" t="s">
        <v>103</v>
      </c>
      <c r="F13" s="13">
        <v>3</v>
      </c>
      <c r="G13" s="13">
        <v>4</v>
      </c>
      <c r="H13" s="14">
        <f t="shared" si="0"/>
        <v>12</v>
      </c>
      <c r="I13" s="14" t="str">
        <f t="shared" si="1"/>
        <v>High</v>
      </c>
      <c r="J13" s="12" t="s">
        <v>109</v>
      </c>
      <c r="K13" s="9" t="s">
        <v>64</v>
      </c>
      <c r="L13" s="12" t="s">
        <v>103</v>
      </c>
      <c r="M13" s="13">
        <v>3</v>
      </c>
      <c r="N13" s="13">
        <v>3</v>
      </c>
      <c r="O13" s="14">
        <f t="shared" si="2"/>
        <v>9</v>
      </c>
      <c r="P13" s="14" t="str">
        <f t="shared" si="3"/>
        <v>Medium</v>
      </c>
      <c r="Q13" s="12" t="s">
        <v>110</v>
      </c>
      <c r="R13" s="12" t="s">
        <v>103</v>
      </c>
      <c r="S13" s="158">
        <v>46295</v>
      </c>
      <c r="T13" s="158">
        <v>45962</v>
      </c>
      <c r="U13" s="17" t="s">
        <v>82</v>
      </c>
    </row>
    <row r="14" spans="1:21" ht="33.75" customHeight="1" x14ac:dyDescent="0.35">
      <c r="A14" s="4" t="s">
        <v>111</v>
      </c>
      <c r="B14" s="5" t="s">
        <v>112</v>
      </c>
      <c r="C14" s="5" t="s">
        <v>113</v>
      </c>
      <c r="D14" s="18" t="s">
        <v>102</v>
      </c>
      <c r="E14" s="5" t="s">
        <v>103</v>
      </c>
      <c r="F14" s="7">
        <v>3</v>
      </c>
      <c r="G14" s="7">
        <v>3</v>
      </c>
      <c r="H14" s="8">
        <f t="shared" si="0"/>
        <v>9</v>
      </c>
      <c r="I14" s="8" t="str">
        <f t="shared" si="1"/>
        <v>Medium</v>
      </c>
      <c r="J14" s="5" t="s">
        <v>114</v>
      </c>
      <c r="K14" s="16" t="s">
        <v>80</v>
      </c>
      <c r="L14" s="5" t="s">
        <v>78</v>
      </c>
      <c r="M14" s="7">
        <v>2</v>
      </c>
      <c r="N14" s="7">
        <v>3</v>
      </c>
      <c r="O14" s="8">
        <f t="shared" si="2"/>
        <v>6</v>
      </c>
      <c r="P14" s="8" t="str">
        <f t="shared" si="3"/>
        <v>Medium</v>
      </c>
      <c r="Q14" s="5" t="s">
        <v>115</v>
      </c>
      <c r="R14" s="5" t="s">
        <v>78</v>
      </c>
      <c r="S14" s="157">
        <v>46142</v>
      </c>
      <c r="T14" s="157">
        <v>45945</v>
      </c>
      <c r="U14" s="10" t="s">
        <v>66</v>
      </c>
    </row>
    <row r="15" spans="1:21" ht="33.75" customHeight="1" x14ac:dyDescent="0.35">
      <c r="A15" s="11" t="s">
        <v>116</v>
      </c>
      <c r="B15" s="12" t="s">
        <v>117</v>
      </c>
      <c r="C15" s="12" t="s">
        <v>118</v>
      </c>
      <c r="D15" s="18" t="s">
        <v>102</v>
      </c>
      <c r="E15" s="12" t="s">
        <v>103</v>
      </c>
      <c r="F15" s="13">
        <v>2</v>
      </c>
      <c r="G15" s="13">
        <v>3</v>
      </c>
      <c r="H15" s="14">
        <f t="shared" si="0"/>
        <v>6</v>
      </c>
      <c r="I15" s="14" t="str">
        <f t="shared" si="1"/>
        <v>Medium</v>
      </c>
      <c r="J15" s="12" t="s">
        <v>119</v>
      </c>
      <c r="K15" s="16" t="s">
        <v>80</v>
      </c>
      <c r="L15" s="12" t="s">
        <v>103</v>
      </c>
      <c r="M15" s="13">
        <v>1</v>
      </c>
      <c r="N15" s="13">
        <v>3</v>
      </c>
      <c r="O15" s="14">
        <f t="shared" si="2"/>
        <v>3</v>
      </c>
      <c r="P15" s="14" t="str">
        <f t="shared" si="3"/>
        <v>Low</v>
      </c>
      <c r="Q15" s="12" t="s">
        <v>120</v>
      </c>
      <c r="R15" s="12" t="s">
        <v>103</v>
      </c>
      <c r="S15" s="158">
        <v>46387</v>
      </c>
      <c r="T15" s="158">
        <v>45962</v>
      </c>
      <c r="U15" s="10" t="s">
        <v>66</v>
      </c>
    </row>
    <row r="16" spans="1:21" ht="33.75" customHeight="1" x14ac:dyDescent="0.35">
      <c r="A16" s="4" t="s">
        <v>121</v>
      </c>
      <c r="B16" s="5" t="s">
        <v>122</v>
      </c>
      <c r="C16" s="5" t="s">
        <v>123</v>
      </c>
      <c r="D16" s="8" t="s">
        <v>124</v>
      </c>
      <c r="E16" s="5" t="s">
        <v>125</v>
      </c>
      <c r="F16" s="7">
        <v>3</v>
      </c>
      <c r="G16" s="7">
        <v>4</v>
      </c>
      <c r="H16" s="8">
        <f t="shared" si="0"/>
        <v>12</v>
      </c>
      <c r="I16" s="8" t="str">
        <f t="shared" si="1"/>
        <v>High</v>
      </c>
      <c r="J16" s="5" t="s">
        <v>126</v>
      </c>
      <c r="K16" s="16" t="s">
        <v>80</v>
      </c>
      <c r="L16" s="5" t="s">
        <v>125</v>
      </c>
      <c r="M16" s="7">
        <v>2</v>
      </c>
      <c r="N16" s="7">
        <v>3</v>
      </c>
      <c r="O16" s="8">
        <f t="shared" si="2"/>
        <v>6</v>
      </c>
      <c r="P16" s="8" t="str">
        <f t="shared" si="3"/>
        <v>Medium</v>
      </c>
      <c r="Q16" s="5" t="s">
        <v>127</v>
      </c>
      <c r="R16" s="5" t="s">
        <v>125</v>
      </c>
      <c r="S16" s="157">
        <v>46173</v>
      </c>
      <c r="T16" s="157">
        <v>45931</v>
      </c>
      <c r="U16" s="10" t="s">
        <v>66</v>
      </c>
    </row>
    <row r="17" spans="1:21" ht="33.75" customHeight="1" x14ac:dyDescent="0.35">
      <c r="A17" s="11" t="s">
        <v>128</v>
      </c>
      <c r="B17" s="12" t="s">
        <v>129</v>
      </c>
      <c r="C17" s="12" t="s">
        <v>130</v>
      </c>
      <c r="D17" s="8" t="s">
        <v>124</v>
      </c>
      <c r="E17" s="12" t="s">
        <v>78</v>
      </c>
      <c r="F17" s="13">
        <v>2</v>
      </c>
      <c r="G17" s="13">
        <v>5</v>
      </c>
      <c r="H17" s="14">
        <f t="shared" si="0"/>
        <v>10</v>
      </c>
      <c r="I17" s="14" t="str">
        <f t="shared" si="1"/>
        <v>Medium</v>
      </c>
      <c r="J17" s="12" t="s">
        <v>131</v>
      </c>
      <c r="K17" s="16" t="s">
        <v>80</v>
      </c>
      <c r="L17" s="12" t="s">
        <v>78</v>
      </c>
      <c r="M17" s="13">
        <v>1</v>
      </c>
      <c r="N17" s="13">
        <v>4</v>
      </c>
      <c r="O17" s="14">
        <f t="shared" si="2"/>
        <v>4</v>
      </c>
      <c r="P17" s="14" t="str">
        <f t="shared" si="3"/>
        <v>Low</v>
      </c>
      <c r="Q17" s="12" t="s">
        <v>132</v>
      </c>
      <c r="R17" s="12" t="s">
        <v>78</v>
      </c>
      <c r="S17" s="158">
        <v>46265</v>
      </c>
      <c r="T17" s="158">
        <v>45901</v>
      </c>
      <c r="U17" s="17" t="s">
        <v>82</v>
      </c>
    </row>
    <row r="18" spans="1:21" ht="33.75" customHeight="1" x14ac:dyDescent="0.35">
      <c r="A18" s="4" t="s">
        <v>133</v>
      </c>
      <c r="B18" s="5" t="s">
        <v>134</v>
      </c>
      <c r="C18" s="5" t="s">
        <v>135</v>
      </c>
      <c r="D18" s="19" t="s">
        <v>136</v>
      </c>
      <c r="E18" s="5" t="s">
        <v>137</v>
      </c>
      <c r="F18" s="7">
        <v>3</v>
      </c>
      <c r="G18" s="7">
        <v>4</v>
      </c>
      <c r="H18" s="8">
        <f t="shared" si="0"/>
        <v>12</v>
      </c>
      <c r="I18" s="8" t="str">
        <f t="shared" si="1"/>
        <v>High</v>
      </c>
      <c r="J18" s="5" t="s">
        <v>138</v>
      </c>
      <c r="K18" s="15" t="s">
        <v>73</v>
      </c>
      <c r="L18" s="5" t="s">
        <v>137</v>
      </c>
      <c r="M18" s="7">
        <v>1</v>
      </c>
      <c r="N18" s="7">
        <v>4</v>
      </c>
      <c r="O18" s="8">
        <f t="shared" si="2"/>
        <v>4</v>
      </c>
      <c r="P18" s="8" t="str">
        <f t="shared" si="3"/>
        <v>Low</v>
      </c>
      <c r="Q18" s="5" t="s">
        <v>139</v>
      </c>
      <c r="R18" s="5" t="s">
        <v>137</v>
      </c>
      <c r="S18" s="157">
        <v>46326</v>
      </c>
      <c r="T18" s="157">
        <v>45992</v>
      </c>
      <c r="U18" s="20" t="s">
        <v>140</v>
      </c>
    </row>
    <row r="19" spans="1:21" ht="33.75" customHeight="1" x14ac:dyDescent="0.35">
      <c r="A19" s="11" t="s">
        <v>141</v>
      </c>
      <c r="B19" s="12" t="s">
        <v>142</v>
      </c>
      <c r="C19" s="12" t="s">
        <v>143</v>
      </c>
      <c r="D19" s="21" t="s">
        <v>61</v>
      </c>
      <c r="E19" s="12" t="s">
        <v>144</v>
      </c>
      <c r="F19" s="13">
        <v>3</v>
      </c>
      <c r="G19" s="13">
        <v>4</v>
      </c>
      <c r="H19" s="14">
        <f t="shared" si="0"/>
        <v>12</v>
      </c>
      <c r="I19" s="14" t="str">
        <f t="shared" si="1"/>
        <v>High</v>
      </c>
      <c r="J19" s="12" t="s">
        <v>145</v>
      </c>
      <c r="K19" s="9" t="s">
        <v>64</v>
      </c>
      <c r="L19" s="12" t="s">
        <v>144</v>
      </c>
      <c r="M19" s="13">
        <v>3</v>
      </c>
      <c r="N19" s="13">
        <v>3</v>
      </c>
      <c r="O19" s="14">
        <f t="shared" si="2"/>
        <v>9</v>
      </c>
      <c r="P19" s="14" t="str">
        <f t="shared" si="3"/>
        <v>Medium</v>
      </c>
      <c r="Q19" s="12" t="s">
        <v>146</v>
      </c>
      <c r="R19" s="12" t="s">
        <v>144</v>
      </c>
      <c r="S19" s="158">
        <v>46387</v>
      </c>
      <c r="T19" s="158">
        <v>45945</v>
      </c>
      <c r="U19" s="17" t="s">
        <v>82</v>
      </c>
    </row>
    <row r="20" spans="1:21" ht="33.75" customHeight="1" thickBot="1" x14ac:dyDescent="0.4">
      <c r="A20" s="22" t="s">
        <v>147</v>
      </c>
      <c r="B20" s="23" t="s">
        <v>148</v>
      </c>
      <c r="C20" s="23" t="s">
        <v>149</v>
      </c>
      <c r="D20" s="24" t="s">
        <v>150</v>
      </c>
      <c r="E20" s="23" t="s">
        <v>151</v>
      </c>
      <c r="F20" s="25">
        <v>3</v>
      </c>
      <c r="G20" s="25">
        <v>5</v>
      </c>
      <c r="H20" s="26">
        <f t="shared" si="0"/>
        <v>15</v>
      </c>
      <c r="I20" s="26" t="str">
        <f t="shared" si="1"/>
        <v>High</v>
      </c>
      <c r="J20" s="23" t="s">
        <v>152</v>
      </c>
      <c r="K20" s="27" t="s">
        <v>64</v>
      </c>
      <c r="L20" s="23" t="s">
        <v>151</v>
      </c>
      <c r="M20" s="25">
        <v>3</v>
      </c>
      <c r="N20" s="25">
        <v>4</v>
      </c>
      <c r="O20" s="26">
        <f t="shared" si="2"/>
        <v>12</v>
      </c>
      <c r="P20" s="26" t="str">
        <f t="shared" si="3"/>
        <v>High</v>
      </c>
      <c r="Q20" s="23" t="s">
        <v>153</v>
      </c>
      <c r="R20" s="23" t="s">
        <v>151</v>
      </c>
      <c r="S20" s="159">
        <v>46295</v>
      </c>
      <c r="T20" s="159">
        <v>45991</v>
      </c>
      <c r="U20" s="28" t="s">
        <v>82</v>
      </c>
    </row>
    <row r="22" spans="1:21" ht="15.75" customHeight="1" x14ac:dyDescent="0.35">
      <c r="A22" s="164" t="s">
        <v>154</v>
      </c>
      <c r="B22" s="161"/>
      <c r="C22" s="161"/>
      <c r="D22" s="161"/>
      <c r="E22" s="161"/>
      <c r="F22" s="161"/>
      <c r="G22" s="161"/>
      <c r="H22" s="161"/>
      <c r="I22" s="161"/>
      <c r="J22" s="161"/>
      <c r="K22" s="161"/>
      <c r="L22" s="161"/>
      <c r="M22" s="161"/>
      <c r="N22" s="161"/>
      <c r="O22" s="161"/>
      <c r="P22" s="161"/>
      <c r="Q22" s="161"/>
      <c r="R22" s="161"/>
      <c r="S22" s="161"/>
      <c r="T22" s="161"/>
      <c r="U22" s="161"/>
    </row>
  </sheetData>
  <mergeCells count="10">
    <mergeCell ref="A1:U1"/>
    <mergeCell ref="F4:I4"/>
    <mergeCell ref="D4:E4"/>
    <mergeCell ref="Q4:S4"/>
    <mergeCell ref="M4:P4"/>
    <mergeCell ref="A22:U22"/>
    <mergeCell ref="A4:C4"/>
    <mergeCell ref="T4:U4"/>
    <mergeCell ref="A2:U2"/>
    <mergeCell ref="J4:L4"/>
  </mergeCells>
  <conditionalFormatting sqref="H6:H20">
    <cfRule type="expression" dxfId="23" priority="2">
      <formula>H6&gt;=20</formula>
    </cfRule>
    <cfRule type="expression" dxfId="22" priority="3">
      <formula>AND(H6&gt;=12,H6&lt;=19)</formula>
    </cfRule>
    <cfRule type="expression" dxfId="21" priority="4">
      <formula>AND(H6&gt;=6,H6&lt;=11)</formula>
    </cfRule>
    <cfRule type="expression" dxfId="20" priority="5">
      <formula>AND(H6&gt;=2,H6&lt;=5)</formula>
    </cfRule>
    <cfRule type="expression" dxfId="19" priority="6">
      <formula>AND(H6&gt;=1,H6&lt;=1)</formula>
    </cfRule>
  </conditionalFormatting>
  <conditionalFormatting sqref="I6:I20">
    <cfRule type="expression" dxfId="18" priority="7">
      <formula>I6="Critical"</formula>
    </cfRule>
    <cfRule type="expression" dxfId="17" priority="8">
      <formula>I6="High"</formula>
    </cfRule>
    <cfRule type="expression" dxfId="16" priority="9">
      <formula>I6="Medium"</formula>
    </cfRule>
    <cfRule type="expression" dxfId="15" priority="10">
      <formula>I6="Low"</formula>
    </cfRule>
    <cfRule type="expression" dxfId="14" priority="11">
      <formula>I6="Informational"</formula>
    </cfRule>
  </conditionalFormatting>
  <conditionalFormatting sqref="O6:O20">
    <cfRule type="expression" dxfId="13" priority="12">
      <formula>O6&gt;=20</formula>
    </cfRule>
    <cfRule type="expression" dxfId="12" priority="13">
      <formula>AND(O6&gt;=12,O6&lt;=19)</formula>
    </cfRule>
    <cfRule type="expression" dxfId="11" priority="14">
      <formula>AND(O6&gt;=6,O6&lt;=11)</formula>
    </cfRule>
    <cfRule type="expression" dxfId="10" priority="15">
      <formula>AND(O6&gt;=2,O6&lt;=5)</formula>
    </cfRule>
    <cfRule type="expression" dxfId="9" priority="16">
      <formula>AND(O6&gt;=1,O6&lt;=1)</formula>
    </cfRule>
  </conditionalFormatting>
  <conditionalFormatting sqref="P6:P20">
    <cfRule type="expression" dxfId="8" priority="17">
      <formula>P6="Critical"</formula>
    </cfRule>
    <cfRule type="expression" dxfId="7" priority="18">
      <formula>P6="High"</formula>
    </cfRule>
    <cfRule type="expression" dxfId="6" priority="19">
      <formula>P6="Medium"</formula>
    </cfRule>
    <cfRule type="expression" dxfId="5" priority="20">
      <formula>P6="Low"</formula>
    </cfRule>
    <cfRule type="expression" dxfId="4" priority="21">
      <formula>P6="Informational"</formula>
    </cfRule>
  </conditionalFormatting>
  <dataValidations count="4">
    <dataValidation type="list" allowBlank="1" sqref="D6:D50" xr:uid="{00000000-0002-0000-0000-000000000000}">
      <formula1>"Governance,Information Technology,Human Resources,Compliance,Financial,Reputational,Strategic,Operational,Product &amp; Engineering"</formula1>
      <formula2>0</formula2>
    </dataValidation>
    <dataValidation type="list" allowBlank="1" sqref="F6:G50 M6:N50" xr:uid="{00000000-0002-0000-0000-000002000000}">
      <formula1>"1,2,3,4,5"</formula1>
      <formula2>0</formula2>
    </dataValidation>
    <dataValidation type="list" allowBlank="1" sqref="K6:K50" xr:uid="{00000000-0002-0000-0000-000003000000}">
      <formula1>"Strong,Adequate,Basic,Weak"</formula1>
      <formula2>0</formula2>
    </dataValidation>
    <dataValidation type="list" allowBlank="1" sqref="U6:U50" xr:uid="{00000000-0002-0000-0000-000004000000}">
      <formula1>"Open,In Progress,Closed,Accepted,Overdue"</formula1>
      <formula2>0</formula2>
    </dataValidation>
  </dataValidations>
  <pageMargins left="0.75" right="0.75" top="1" bottom="1" header="0.511811023622047" footer="0.511811023622047"/>
  <pageSetup orientation="landscape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K42"/>
  <sheetViews>
    <sheetView showGridLines="0" zoomScaleNormal="100" workbookViewId="0">
      <selection sqref="A1:K1"/>
    </sheetView>
  </sheetViews>
  <sheetFormatPr defaultColWidth="8.6328125" defaultRowHeight="14.5" x14ac:dyDescent="0.35"/>
  <cols>
    <col min="1" max="1" width="24" customWidth="1"/>
    <col min="2" max="11" width="9" customWidth="1"/>
  </cols>
  <sheetData>
    <row r="1" spans="1:11" ht="31.5" customHeight="1" x14ac:dyDescent="0.35">
      <c r="A1" s="162" t="s">
        <v>155</v>
      </c>
      <c r="B1" s="161"/>
      <c r="C1" s="161"/>
      <c r="D1" s="161"/>
      <c r="E1" s="161"/>
      <c r="F1" s="161"/>
      <c r="G1" s="161"/>
      <c r="H1" s="161"/>
      <c r="I1" s="161"/>
      <c r="J1" s="161"/>
      <c r="K1" s="161"/>
    </row>
    <row r="2" spans="1:11" ht="13.5" customHeight="1" x14ac:dyDescent="0.35">
      <c r="A2" s="167" t="s">
        <v>156</v>
      </c>
      <c r="B2" s="161"/>
      <c r="C2" s="161"/>
      <c r="D2" s="161"/>
      <c r="E2" s="161"/>
      <c r="F2" s="161"/>
      <c r="G2" s="161"/>
      <c r="H2" s="161"/>
      <c r="I2" s="161"/>
      <c r="J2" s="161"/>
      <c r="K2" s="161"/>
    </row>
    <row r="3" spans="1:11" ht="6" customHeight="1" x14ac:dyDescent="0.35"/>
    <row r="4" spans="1:11" ht="21.75" customHeight="1" x14ac:dyDescent="0.35">
      <c r="A4" s="168" t="s">
        <v>157</v>
      </c>
      <c r="B4" s="161"/>
      <c r="C4" s="161"/>
    </row>
    <row r="5" spans="1:11" ht="19.5" customHeight="1" x14ac:dyDescent="0.35">
      <c r="A5" s="29" t="s">
        <v>158</v>
      </c>
      <c r="B5" s="30" t="s">
        <v>159</v>
      </c>
      <c r="C5" s="31" t="s">
        <v>160</v>
      </c>
    </row>
    <row r="6" spans="1:11" ht="69.75" customHeight="1" x14ac:dyDescent="0.35">
      <c r="A6" s="32" t="s">
        <v>161</v>
      </c>
      <c r="B6" s="33" t="s">
        <v>162</v>
      </c>
      <c r="C6" s="34" t="s">
        <v>163</v>
      </c>
    </row>
    <row r="7" spans="1:11" ht="69.75" customHeight="1" x14ac:dyDescent="0.35">
      <c r="A7" s="35" t="s">
        <v>164</v>
      </c>
      <c r="B7" s="36" t="s">
        <v>165</v>
      </c>
      <c r="C7" s="37" t="s">
        <v>166</v>
      </c>
    </row>
    <row r="8" spans="1:11" ht="69.75" customHeight="1" x14ac:dyDescent="0.35">
      <c r="A8" s="38" t="s">
        <v>167</v>
      </c>
      <c r="B8" s="33" t="s">
        <v>168</v>
      </c>
      <c r="C8" s="34" t="s">
        <v>169</v>
      </c>
    </row>
    <row r="9" spans="1:11" ht="69.75" customHeight="1" x14ac:dyDescent="0.35">
      <c r="A9" s="39" t="s">
        <v>170</v>
      </c>
      <c r="B9" s="36" t="s">
        <v>171</v>
      </c>
      <c r="C9" s="37" t="s">
        <v>172</v>
      </c>
    </row>
    <row r="10" spans="1:11" ht="69.75" customHeight="1" x14ac:dyDescent="0.35">
      <c r="A10" s="40" t="s">
        <v>173</v>
      </c>
      <c r="B10" s="33" t="s">
        <v>174</v>
      </c>
      <c r="C10" s="34" t="s">
        <v>175</v>
      </c>
    </row>
    <row r="11" spans="1:11" ht="69.75" customHeight="1" x14ac:dyDescent="0.35">
      <c r="A11" s="41" t="s">
        <v>176</v>
      </c>
      <c r="B11" s="36" t="s">
        <v>177</v>
      </c>
      <c r="C11" s="37" t="s">
        <v>178</v>
      </c>
    </row>
    <row r="12" spans="1:11" ht="69.75" customHeight="1" x14ac:dyDescent="0.35">
      <c r="A12" s="42" t="s">
        <v>179</v>
      </c>
      <c r="B12" s="33" t="s">
        <v>180</v>
      </c>
      <c r="C12" s="34" t="s">
        <v>181</v>
      </c>
    </row>
    <row r="13" spans="1:11" ht="69.75" customHeight="1" x14ac:dyDescent="0.35">
      <c r="A13" s="43" t="s">
        <v>182</v>
      </c>
      <c r="B13" s="36" t="s">
        <v>183</v>
      </c>
      <c r="C13" s="37" t="s">
        <v>184</v>
      </c>
    </row>
    <row r="14" spans="1:11" ht="69.75" customHeight="1" x14ac:dyDescent="0.35">
      <c r="A14" s="40" t="s">
        <v>71</v>
      </c>
      <c r="B14" s="33" t="s">
        <v>185</v>
      </c>
      <c r="C14" s="34" t="s">
        <v>186</v>
      </c>
    </row>
    <row r="15" spans="1:11" ht="69.75" customHeight="1" x14ac:dyDescent="0.35">
      <c r="A15" s="44" t="s">
        <v>187</v>
      </c>
      <c r="B15" s="45" t="s">
        <v>188</v>
      </c>
      <c r="C15" s="46" t="s">
        <v>189</v>
      </c>
    </row>
    <row r="18" spans="1:11" ht="21.75" customHeight="1" x14ac:dyDescent="0.35">
      <c r="A18" s="168" t="s">
        <v>190</v>
      </c>
      <c r="B18" s="161"/>
      <c r="C18" s="161"/>
      <c r="D18" s="161"/>
      <c r="E18" s="161"/>
      <c r="F18" s="161"/>
      <c r="G18" s="161"/>
      <c r="H18" s="161"/>
      <c r="I18" s="161"/>
      <c r="J18" s="161"/>
      <c r="K18" s="161"/>
    </row>
    <row r="19" spans="1:11" ht="27.75" customHeight="1" x14ac:dyDescent="0.35">
      <c r="A19" s="47" t="s">
        <v>191</v>
      </c>
      <c r="B19" s="48" t="s">
        <v>192</v>
      </c>
      <c r="C19" s="48" t="s">
        <v>193</v>
      </c>
      <c r="D19" s="48" t="s">
        <v>194</v>
      </c>
      <c r="E19" s="48" t="s">
        <v>195</v>
      </c>
      <c r="F19" s="48" t="s">
        <v>196</v>
      </c>
      <c r="G19" s="48" t="s">
        <v>197</v>
      </c>
      <c r="H19" s="48" t="s">
        <v>198</v>
      </c>
      <c r="I19" s="48" t="s">
        <v>199</v>
      </c>
      <c r="J19" s="48" t="s">
        <v>200</v>
      </c>
      <c r="K19" s="49" t="s">
        <v>201</v>
      </c>
    </row>
    <row r="20" spans="1:11" ht="18" customHeight="1" x14ac:dyDescent="0.35">
      <c r="A20" s="50" t="s">
        <v>202</v>
      </c>
      <c r="B20" s="51" t="s">
        <v>203</v>
      </c>
      <c r="C20" s="51" t="s">
        <v>203</v>
      </c>
      <c r="D20" s="52" t="s">
        <v>204</v>
      </c>
      <c r="E20" s="53" t="s">
        <v>205</v>
      </c>
      <c r="F20" s="53" t="s">
        <v>205</v>
      </c>
      <c r="G20" s="51" t="s">
        <v>203</v>
      </c>
      <c r="H20" s="53" t="s">
        <v>205</v>
      </c>
      <c r="I20" s="51" t="s">
        <v>203</v>
      </c>
      <c r="J20" s="51" t="s">
        <v>203</v>
      </c>
      <c r="K20" s="54" t="s">
        <v>205</v>
      </c>
    </row>
    <row r="21" spans="1:11" ht="18" customHeight="1" x14ac:dyDescent="0.35">
      <c r="A21" s="55" t="s">
        <v>206</v>
      </c>
      <c r="B21" s="52" t="s">
        <v>204</v>
      </c>
      <c r="C21" s="53" t="s">
        <v>205</v>
      </c>
      <c r="D21" s="56" t="s">
        <v>207</v>
      </c>
      <c r="E21" s="53" t="s">
        <v>205</v>
      </c>
      <c r="F21" s="53" t="s">
        <v>205</v>
      </c>
      <c r="G21" s="51" t="s">
        <v>203</v>
      </c>
      <c r="H21" s="53" t="s">
        <v>205</v>
      </c>
      <c r="I21" s="51" t="s">
        <v>203</v>
      </c>
      <c r="J21" s="51" t="s">
        <v>203</v>
      </c>
      <c r="K21" s="54" t="s">
        <v>205</v>
      </c>
    </row>
    <row r="22" spans="1:11" ht="18" customHeight="1" x14ac:dyDescent="0.35">
      <c r="A22" s="50" t="s">
        <v>208</v>
      </c>
      <c r="B22" s="51" t="s">
        <v>203</v>
      </c>
      <c r="C22" s="52" t="s">
        <v>204</v>
      </c>
      <c r="D22" s="53" t="s">
        <v>205</v>
      </c>
      <c r="E22" s="53" t="s">
        <v>205</v>
      </c>
      <c r="F22" s="51" t="s">
        <v>203</v>
      </c>
      <c r="G22" s="51" t="s">
        <v>203</v>
      </c>
      <c r="H22" s="51" t="s">
        <v>203</v>
      </c>
      <c r="I22" s="51" t="s">
        <v>203</v>
      </c>
      <c r="J22" s="56" t="s">
        <v>207</v>
      </c>
      <c r="K22" s="54" t="s">
        <v>205</v>
      </c>
    </row>
    <row r="23" spans="1:11" ht="18" customHeight="1" x14ac:dyDescent="0.35">
      <c r="A23" s="55" t="s">
        <v>209</v>
      </c>
      <c r="B23" s="51" t="s">
        <v>203</v>
      </c>
      <c r="C23" s="53" t="s">
        <v>205</v>
      </c>
      <c r="D23" s="53" t="s">
        <v>205</v>
      </c>
      <c r="E23" s="52" t="s">
        <v>204</v>
      </c>
      <c r="F23" s="51" t="s">
        <v>203</v>
      </c>
      <c r="G23" s="51" t="s">
        <v>203</v>
      </c>
      <c r="H23" s="51" t="s">
        <v>203</v>
      </c>
      <c r="I23" s="51" t="s">
        <v>203</v>
      </c>
      <c r="J23" s="56" t="s">
        <v>207</v>
      </c>
      <c r="K23" s="54" t="s">
        <v>205</v>
      </c>
    </row>
    <row r="24" spans="1:11" ht="18" customHeight="1" x14ac:dyDescent="0.35">
      <c r="A24" s="50" t="s">
        <v>210</v>
      </c>
      <c r="B24" s="51" t="s">
        <v>203</v>
      </c>
      <c r="C24" s="53" t="s">
        <v>205</v>
      </c>
      <c r="D24" s="53" t="s">
        <v>205</v>
      </c>
      <c r="E24" s="52" t="s">
        <v>204</v>
      </c>
      <c r="F24" s="51" t="s">
        <v>203</v>
      </c>
      <c r="G24" s="51" t="s">
        <v>203</v>
      </c>
      <c r="H24" s="51" t="s">
        <v>203</v>
      </c>
      <c r="I24" s="51" t="s">
        <v>203</v>
      </c>
      <c r="J24" s="56" t="s">
        <v>207</v>
      </c>
      <c r="K24" s="57" t="s">
        <v>203</v>
      </c>
    </row>
    <row r="25" spans="1:11" ht="18" customHeight="1" x14ac:dyDescent="0.35">
      <c r="A25" s="55" t="s">
        <v>211</v>
      </c>
      <c r="B25" s="51" t="s">
        <v>203</v>
      </c>
      <c r="C25" s="51" t="s">
        <v>203</v>
      </c>
      <c r="D25" s="53" t="s">
        <v>205</v>
      </c>
      <c r="E25" s="53" t="s">
        <v>205</v>
      </c>
      <c r="F25" s="51" t="s">
        <v>203</v>
      </c>
      <c r="G25" s="51" t="s">
        <v>203</v>
      </c>
      <c r="H25" s="56" t="s">
        <v>207</v>
      </c>
      <c r="I25" s="52" t="s">
        <v>204</v>
      </c>
      <c r="J25" s="51" t="s">
        <v>203</v>
      </c>
      <c r="K25" s="54" t="s">
        <v>205</v>
      </c>
    </row>
    <row r="26" spans="1:11" ht="18" customHeight="1" x14ac:dyDescent="0.35">
      <c r="A26" s="50" t="s">
        <v>212</v>
      </c>
      <c r="B26" s="51" t="s">
        <v>203</v>
      </c>
      <c r="C26" s="53" t="s">
        <v>205</v>
      </c>
      <c r="D26" s="53" t="s">
        <v>205</v>
      </c>
      <c r="E26" s="56" t="s">
        <v>207</v>
      </c>
      <c r="F26" s="51" t="s">
        <v>203</v>
      </c>
      <c r="G26" s="51" t="s">
        <v>203</v>
      </c>
      <c r="H26" s="52" t="s">
        <v>204</v>
      </c>
      <c r="I26" s="53" t="s">
        <v>205</v>
      </c>
      <c r="J26" s="56" t="s">
        <v>207</v>
      </c>
      <c r="K26" s="54" t="s">
        <v>205</v>
      </c>
    </row>
    <row r="27" spans="1:11" ht="18" customHeight="1" x14ac:dyDescent="0.35">
      <c r="A27" s="55" t="s">
        <v>213</v>
      </c>
      <c r="B27" s="51" t="s">
        <v>203</v>
      </c>
      <c r="C27" s="52" t="s">
        <v>204</v>
      </c>
      <c r="D27" s="53" t="s">
        <v>205</v>
      </c>
      <c r="E27" s="56" t="s">
        <v>207</v>
      </c>
      <c r="F27" s="51" t="s">
        <v>203</v>
      </c>
      <c r="G27" s="51" t="s">
        <v>203</v>
      </c>
      <c r="H27" s="51" t="s">
        <v>203</v>
      </c>
      <c r="I27" s="51" t="s">
        <v>203</v>
      </c>
      <c r="J27" s="53" t="s">
        <v>205</v>
      </c>
      <c r="K27" s="54" t="s">
        <v>205</v>
      </c>
    </row>
    <row r="28" spans="1:11" ht="18" customHeight="1" x14ac:dyDescent="0.35">
      <c r="A28" s="50" t="s">
        <v>214</v>
      </c>
      <c r="B28" s="51" t="s">
        <v>203</v>
      </c>
      <c r="C28" s="53" t="s">
        <v>205</v>
      </c>
      <c r="D28" s="51" t="s">
        <v>203</v>
      </c>
      <c r="E28" s="51" t="s">
        <v>203</v>
      </c>
      <c r="F28" s="51" t="s">
        <v>203</v>
      </c>
      <c r="G28" s="52" t="s">
        <v>204</v>
      </c>
      <c r="H28" s="51" t="s">
        <v>203</v>
      </c>
      <c r="I28" s="51" t="s">
        <v>203</v>
      </c>
      <c r="J28" s="51" t="s">
        <v>203</v>
      </c>
      <c r="K28" s="57" t="s">
        <v>203</v>
      </c>
    </row>
    <row r="29" spans="1:11" ht="18" customHeight="1" x14ac:dyDescent="0.35">
      <c r="A29" s="55" t="s">
        <v>215</v>
      </c>
      <c r="B29" s="53" t="s">
        <v>205</v>
      </c>
      <c r="C29" s="52" t="s">
        <v>204</v>
      </c>
      <c r="D29" s="51" t="s">
        <v>203</v>
      </c>
      <c r="E29" s="51" t="s">
        <v>203</v>
      </c>
      <c r="F29" s="51" t="s">
        <v>203</v>
      </c>
      <c r="G29" s="56" t="s">
        <v>207</v>
      </c>
      <c r="H29" s="51" t="s">
        <v>203</v>
      </c>
      <c r="I29" s="51" t="s">
        <v>203</v>
      </c>
      <c r="J29" s="51" t="s">
        <v>203</v>
      </c>
      <c r="K29" s="57" t="s">
        <v>203</v>
      </c>
    </row>
    <row r="30" spans="1:11" ht="18" customHeight="1" x14ac:dyDescent="0.35">
      <c r="A30" s="50" t="s">
        <v>216</v>
      </c>
      <c r="B30" s="51" t="s">
        <v>203</v>
      </c>
      <c r="C30" s="51" t="s">
        <v>203</v>
      </c>
      <c r="D30" s="51" t="s">
        <v>203</v>
      </c>
      <c r="E30" s="51" t="s">
        <v>203</v>
      </c>
      <c r="F30" s="53" t="s">
        <v>205</v>
      </c>
      <c r="G30" s="52" t="s">
        <v>204</v>
      </c>
      <c r="H30" s="56" t="s">
        <v>207</v>
      </c>
      <c r="I30" s="51" t="s">
        <v>203</v>
      </c>
      <c r="J30" s="51" t="s">
        <v>203</v>
      </c>
      <c r="K30" s="54" t="s">
        <v>205</v>
      </c>
    </row>
    <row r="31" spans="1:11" ht="18" customHeight="1" x14ac:dyDescent="0.35">
      <c r="A31" s="55" t="s">
        <v>217</v>
      </c>
      <c r="B31" s="51" t="s">
        <v>203</v>
      </c>
      <c r="C31" s="53" t="s">
        <v>205</v>
      </c>
      <c r="D31" s="51" t="s">
        <v>203</v>
      </c>
      <c r="E31" s="52" t="s">
        <v>204</v>
      </c>
      <c r="F31" s="51" t="s">
        <v>203</v>
      </c>
      <c r="G31" s="56" t="s">
        <v>207</v>
      </c>
      <c r="H31" s="51" t="s">
        <v>203</v>
      </c>
      <c r="I31" s="51" t="s">
        <v>203</v>
      </c>
      <c r="J31" s="56" t="s">
        <v>207</v>
      </c>
      <c r="K31" s="57" t="s">
        <v>203</v>
      </c>
    </row>
    <row r="32" spans="1:11" ht="18" customHeight="1" x14ac:dyDescent="0.35">
      <c r="A32" s="50" t="s">
        <v>218</v>
      </c>
      <c r="B32" s="51" t="s">
        <v>203</v>
      </c>
      <c r="C32" s="53" t="s">
        <v>205</v>
      </c>
      <c r="D32" s="53" t="s">
        <v>205</v>
      </c>
      <c r="E32" s="52" t="s">
        <v>204</v>
      </c>
      <c r="F32" s="51" t="s">
        <v>203</v>
      </c>
      <c r="G32" s="51" t="s">
        <v>203</v>
      </c>
      <c r="H32" s="51" t="s">
        <v>203</v>
      </c>
      <c r="I32" s="51" t="s">
        <v>203</v>
      </c>
      <c r="J32" s="56" t="s">
        <v>207</v>
      </c>
      <c r="K32" s="54" t="s">
        <v>205</v>
      </c>
    </row>
    <row r="33" spans="1:11" ht="18" customHeight="1" x14ac:dyDescent="0.35">
      <c r="A33" s="55" t="s">
        <v>219</v>
      </c>
      <c r="B33" s="52" t="s">
        <v>204</v>
      </c>
      <c r="C33" s="51" t="s">
        <v>203</v>
      </c>
      <c r="D33" s="53" t="s">
        <v>205</v>
      </c>
      <c r="E33" s="51" t="s">
        <v>203</v>
      </c>
      <c r="F33" s="56" t="s">
        <v>207</v>
      </c>
      <c r="G33" s="51" t="s">
        <v>203</v>
      </c>
      <c r="H33" s="51" t="s">
        <v>203</v>
      </c>
      <c r="I33" s="51" t="s">
        <v>203</v>
      </c>
      <c r="J33" s="51" t="s">
        <v>203</v>
      </c>
      <c r="K33" s="54" t="s">
        <v>205</v>
      </c>
    </row>
    <row r="34" spans="1:11" ht="18" customHeight="1" x14ac:dyDescent="0.35">
      <c r="A34" s="50" t="s">
        <v>220</v>
      </c>
      <c r="B34" s="51" t="s">
        <v>203</v>
      </c>
      <c r="C34" s="51" t="s">
        <v>203</v>
      </c>
      <c r="D34" s="51" t="s">
        <v>203</v>
      </c>
      <c r="E34" s="51" t="s">
        <v>203</v>
      </c>
      <c r="F34" s="52" t="s">
        <v>204</v>
      </c>
      <c r="G34" s="51" t="s">
        <v>203</v>
      </c>
      <c r="H34" s="53" t="s">
        <v>205</v>
      </c>
      <c r="I34" s="51" t="s">
        <v>203</v>
      </c>
      <c r="J34" s="51" t="s">
        <v>203</v>
      </c>
      <c r="K34" s="58" t="s">
        <v>207</v>
      </c>
    </row>
    <row r="35" spans="1:11" ht="18" customHeight="1" x14ac:dyDescent="0.35">
      <c r="A35" s="55" t="s">
        <v>221</v>
      </c>
      <c r="B35" s="51" t="s">
        <v>203</v>
      </c>
      <c r="C35" s="53" t="s">
        <v>205</v>
      </c>
      <c r="D35" s="53" t="s">
        <v>205</v>
      </c>
      <c r="E35" s="52" t="s">
        <v>204</v>
      </c>
      <c r="F35" s="51" t="s">
        <v>203</v>
      </c>
      <c r="G35" s="51" t="s">
        <v>203</v>
      </c>
      <c r="H35" s="53" t="s">
        <v>205</v>
      </c>
      <c r="I35" s="51" t="s">
        <v>203</v>
      </c>
      <c r="J35" s="51" t="s">
        <v>203</v>
      </c>
      <c r="K35" s="54" t="s">
        <v>205</v>
      </c>
    </row>
    <row r="36" spans="1:11" ht="18" customHeight="1" x14ac:dyDescent="0.35">
      <c r="A36" s="50" t="s">
        <v>222</v>
      </c>
      <c r="B36" s="51" t="s">
        <v>203</v>
      </c>
      <c r="C36" s="51" t="s">
        <v>203</v>
      </c>
      <c r="D36" s="53" t="s">
        <v>205</v>
      </c>
      <c r="E36" s="53" t="s">
        <v>205</v>
      </c>
      <c r="F36" s="53" t="s">
        <v>205</v>
      </c>
      <c r="G36" s="51" t="s">
        <v>203</v>
      </c>
      <c r="H36" s="53" t="s">
        <v>205</v>
      </c>
      <c r="I36" s="51" t="s">
        <v>203</v>
      </c>
      <c r="J36" s="51" t="s">
        <v>203</v>
      </c>
      <c r="K36" s="59" t="s">
        <v>204</v>
      </c>
    </row>
    <row r="37" spans="1:11" ht="18" customHeight="1" x14ac:dyDescent="0.35">
      <c r="A37" s="60" t="s">
        <v>223</v>
      </c>
      <c r="B37" s="61" t="s">
        <v>204</v>
      </c>
      <c r="C37" s="62" t="s">
        <v>203</v>
      </c>
      <c r="D37" s="63" t="s">
        <v>207</v>
      </c>
      <c r="E37" s="64" t="s">
        <v>205</v>
      </c>
      <c r="F37" s="64" t="s">
        <v>205</v>
      </c>
      <c r="G37" s="62" t="s">
        <v>203</v>
      </c>
      <c r="H37" s="64" t="s">
        <v>205</v>
      </c>
      <c r="I37" s="62" t="s">
        <v>203</v>
      </c>
      <c r="J37" s="62" t="s">
        <v>203</v>
      </c>
      <c r="K37" s="65" t="s">
        <v>205</v>
      </c>
    </row>
    <row r="39" spans="1:11" ht="15.75" customHeight="1" x14ac:dyDescent="0.35">
      <c r="A39" s="66" t="s">
        <v>204</v>
      </c>
      <c r="B39" s="67" t="s">
        <v>224</v>
      </c>
    </row>
    <row r="40" spans="1:11" ht="15.75" customHeight="1" x14ac:dyDescent="0.35">
      <c r="A40" s="68" t="s">
        <v>207</v>
      </c>
      <c r="B40" s="69" t="s">
        <v>225</v>
      </c>
    </row>
    <row r="41" spans="1:11" ht="15.75" customHeight="1" x14ac:dyDescent="0.35">
      <c r="A41" s="70" t="s">
        <v>205</v>
      </c>
      <c r="B41" s="71" t="s">
        <v>226</v>
      </c>
    </row>
    <row r="42" spans="1:11" ht="15.75" customHeight="1" x14ac:dyDescent="0.35">
      <c r="A42" s="72" t="s">
        <v>203</v>
      </c>
      <c r="B42" s="73" t="s">
        <v>227</v>
      </c>
    </row>
  </sheetData>
  <mergeCells count="4">
    <mergeCell ref="A2:K2"/>
    <mergeCell ref="A4:C4"/>
    <mergeCell ref="A1:K1"/>
    <mergeCell ref="A18:K18"/>
  </mergeCells>
  <pageMargins left="0.75" right="0.75" top="1" bottom="1" header="0.511811023622047" footer="0.511811023622047"/>
  <pageSetup orientation="landscape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G26"/>
  <sheetViews>
    <sheetView showGridLines="0" zoomScaleNormal="100" workbookViewId="0">
      <selection sqref="A1:G1"/>
    </sheetView>
  </sheetViews>
  <sheetFormatPr defaultColWidth="8.6328125" defaultRowHeight="14.5" x14ac:dyDescent="0.35"/>
  <cols>
    <col min="1" max="1" width="14" customWidth="1"/>
    <col min="2" max="2" width="18" customWidth="1"/>
    <col min="3" max="3" width="52" customWidth="1"/>
    <col min="4" max="4" width="3" customWidth="1"/>
    <col min="5" max="5" width="18" customWidth="1"/>
    <col min="6" max="6" width="14" customWidth="1"/>
    <col min="7" max="7" width="44" customWidth="1"/>
  </cols>
  <sheetData>
    <row r="1" spans="1:7" ht="31.5" customHeight="1" x14ac:dyDescent="0.35">
      <c r="A1" s="162" t="s">
        <v>228</v>
      </c>
      <c r="B1" s="161"/>
      <c r="C1" s="161"/>
      <c r="D1" s="161"/>
      <c r="E1" s="161"/>
      <c r="F1" s="161"/>
      <c r="G1" s="161"/>
    </row>
    <row r="2" spans="1:7" ht="13.5" customHeight="1" x14ac:dyDescent="0.35">
      <c r="A2" s="163" t="s">
        <v>229</v>
      </c>
      <c r="B2" s="161"/>
      <c r="C2" s="161"/>
      <c r="D2" s="161"/>
      <c r="E2" s="161"/>
      <c r="F2" s="161"/>
      <c r="G2" s="161"/>
    </row>
    <row r="4" spans="1:7" ht="21.75" customHeight="1" x14ac:dyDescent="0.35">
      <c r="A4" s="160" t="s">
        <v>230</v>
      </c>
      <c r="B4" s="161"/>
      <c r="C4" s="161"/>
      <c r="E4" s="160" t="s">
        <v>231</v>
      </c>
      <c r="F4" s="161"/>
      <c r="G4" s="161"/>
    </row>
    <row r="5" spans="1:7" ht="21.75" customHeight="1" x14ac:dyDescent="0.35">
      <c r="A5" s="74" t="s">
        <v>232</v>
      </c>
      <c r="B5" s="48" t="s">
        <v>30</v>
      </c>
      <c r="C5" s="49" t="s">
        <v>233</v>
      </c>
      <c r="E5" s="74" t="s">
        <v>30</v>
      </c>
      <c r="F5" s="48" t="s">
        <v>234</v>
      </c>
      <c r="G5" s="49" t="s">
        <v>235</v>
      </c>
    </row>
    <row r="6" spans="1:7" ht="21.75" customHeight="1" x14ac:dyDescent="0.35">
      <c r="A6" s="75">
        <v>5</v>
      </c>
      <c r="B6" s="76" t="s">
        <v>236</v>
      </c>
      <c r="C6" s="77" t="s">
        <v>237</v>
      </c>
      <c r="E6" s="78" t="s">
        <v>73</v>
      </c>
      <c r="F6" s="79" t="s">
        <v>238</v>
      </c>
      <c r="G6" s="80" t="s">
        <v>239</v>
      </c>
    </row>
    <row r="7" spans="1:7" ht="21.75" customHeight="1" x14ac:dyDescent="0.35">
      <c r="A7" s="81">
        <v>4</v>
      </c>
      <c r="B7" s="82" t="s">
        <v>240</v>
      </c>
      <c r="C7" s="83" t="s">
        <v>241</v>
      </c>
      <c r="E7" s="84" t="s">
        <v>80</v>
      </c>
      <c r="F7" s="85" t="s">
        <v>242</v>
      </c>
      <c r="G7" s="86" t="s">
        <v>243</v>
      </c>
    </row>
    <row r="8" spans="1:7" ht="21.75" customHeight="1" x14ac:dyDescent="0.35">
      <c r="A8" s="87">
        <v>3</v>
      </c>
      <c r="B8" s="88" t="s">
        <v>244</v>
      </c>
      <c r="C8" s="86" t="s">
        <v>245</v>
      </c>
      <c r="E8" s="89" t="s">
        <v>64</v>
      </c>
      <c r="F8" s="90" t="s">
        <v>246</v>
      </c>
      <c r="G8" s="83" t="s">
        <v>247</v>
      </c>
    </row>
    <row r="9" spans="1:7" ht="21.75" customHeight="1" x14ac:dyDescent="0.35">
      <c r="A9" s="91">
        <v>2</v>
      </c>
      <c r="B9" s="92" t="s">
        <v>248</v>
      </c>
      <c r="C9" s="80" t="s">
        <v>249</v>
      </c>
      <c r="E9" s="93" t="s">
        <v>250</v>
      </c>
      <c r="F9" s="94" t="s">
        <v>251</v>
      </c>
      <c r="G9" s="95" t="s">
        <v>252</v>
      </c>
    </row>
    <row r="10" spans="1:7" ht="19.5" customHeight="1" x14ac:dyDescent="0.35">
      <c r="A10" s="96">
        <v>1</v>
      </c>
      <c r="B10" s="97" t="s">
        <v>253</v>
      </c>
      <c r="C10" s="98" t="s">
        <v>254</v>
      </c>
    </row>
    <row r="11" spans="1:7" ht="21.75" customHeight="1" x14ac:dyDescent="0.35">
      <c r="E11" s="160" t="s">
        <v>255</v>
      </c>
      <c r="F11" s="161"/>
      <c r="G11" s="161"/>
    </row>
    <row r="12" spans="1:7" ht="21.75" customHeight="1" x14ac:dyDescent="0.35">
      <c r="A12" s="160" t="s">
        <v>256</v>
      </c>
      <c r="B12" s="161"/>
      <c r="C12" s="161"/>
      <c r="E12" s="74" t="s">
        <v>257</v>
      </c>
      <c r="F12" s="48" t="s">
        <v>258</v>
      </c>
      <c r="G12" s="49" t="s">
        <v>158</v>
      </c>
    </row>
    <row r="13" spans="1:7" ht="25.5" customHeight="1" x14ac:dyDescent="0.35">
      <c r="A13" s="74" t="s">
        <v>232</v>
      </c>
      <c r="B13" s="48" t="s">
        <v>30</v>
      </c>
      <c r="C13" s="49" t="s">
        <v>233</v>
      </c>
      <c r="E13" s="78" t="s">
        <v>259</v>
      </c>
      <c r="F13" s="99" t="s">
        <v>260</v>
      </c>
      <c r="G13" s="80" t="s">
        <v>261</v>
      </c>
    </row>
    <row r="14" spans="1:7" ht="25.5" customHeight="1" x14ac:dyDescent="0.35">
      <c r="A14" s="75">
        <v>5</v>
      </c>
      <c r="B14" s="76" t="s">
        <v>262</v>
      </c>
      <c r="C14" s="77" t="s">
        <v>263</v>
      </c>
      <c r="E14" s="84" t="s">
        <v>264</v>
      </c>
      <c r="F14" s="100" t="s">
        <v>265</v>
      </c>
      <c r="G14" s="86" t="s">
        <v>266</v>
      </c>
    </row>
    <row r="15" spans="1:7" ht="25.5" customHeight="1" x14ac:dyDescent="0.35">
      <c r="A15" s="81">
        <v>4</v>
      </c>
      <c r="B15" s="82" t="s">
        <v>267</v>
      </c>
      <c r="C15" s="83" t="s">
        <v>268</v>
      </c>
      <c r="E15" s="101" t="s">
        <v>269</v>
      </c>
      <c r="F15" s="102" t="s">
        <v>270</v>
      </c>
      <c r="G15" s="103" t="s">
        <v>271</v>
      </c>
    </row>
    <row r="16" spans="1:7" ht="19.5" customHeight="1" x14ac:dyDescent="0.35">
      <c r="A16" s="87">
        <v>3</v>
      </c>
      <c r="B16" s="88" t="s">
        <v>272</v>
      </c>
      <c r="C16" s="86" t="s">
        <v>273</v>
      </c>
    </row>
    <row r="17" spans="1:3" ht="19.5" customHeight="1" x14ac:dyDescent="0.35">
      <c r="A17" s="91">
        <v>2</v>
      </c>
      <c r="B17" s="92" t="s">
        <v>274</v>
      </c>
      <c r="C17" s="80" t="s">
        <v>275</v>
      </c>
    </row>
    <row r="18" spans="1:3" ht="19.5" customHeight="1" x14ac:dyDescent="0.35">
      <c r="A18" s="96">
        <v>1</v>
      </c>
      <c r="B18" s="97" t="s">
        <v>276</v>
      </c>
      <c r="C18" s="98" t="s">
        <v>277</v>
      </c>
    </row>
    <row r="20" spans="1:3" ht="21.75" customHeight="1" x14ac:dyDescent="0.35">
      <c r="A20" s="160" t="s">
        <v>278</v>
      </c>
      <c r="B20" s="161"/>
      <c r="C20" s="161"/>
    </row>
    <row r="21" spans="1:3" ht="21.75" customHeight="1" x14ac:dyDescent="0.35">
      <c r="A21" s="74" t="s">
        <v>232</v>
      </c>
      <c r="B21" s="48" t="s">
        <v>30</v>
      </c>
      <c r="C21" s="49" t="s">
        <v>279</v>
      </c>
    </row>
    <row r="22" spans="1:3" ht="24" customHeight="1" x14ac:dyDescent="0.35">
      <c r="A22" s="75" t="s">
        <v>280</v>
      </c>
      <c r="B22" s="76" t="s">
        <v>281</v>
      </c>
      <c r="C22" s="77" t="s">
        <v>282</v>
      </c>
    </row>
    <row r="23" spans="1:3" ht="24" customHeight="1" x14ac:dyDescent="0.35">
      <c r="A23" s="81" t="s">
        <v>283</v>
      </c>
      <c r="B23" s="82" t="s">
        <v>240</v>
      </c>
      <c r="C23" s="83" t="s">
        <v>284</v>
      </c>
    </row>
    <row r="24" spans="1:3" ht="24" customHeight="1" x14ac:dyDescent="0.35">
      <c r="A24" s="87" t="s">
        <v>285</v>
      </c>
      <c r="B24" s="88" t="s">
        <v>244</v>
      </c>
      <c r="C24" s="86" t="s">
        <v>286</v>
      </c>
    </row>
    <row r="25" spans="1:3" ht="24" customHeight="1" x14ac:dyDescent="0.35">
      <c r="A25" s="91" t="s">
        <v>287</v>
      </c>
      <c r="B25" s="92" t="s">
        <v>248</v>
      </c>
      <c r="C25" s="80" t="s">
        <v>288</v>
      </c>
    </row>
    <row r="26" spans="1:3" ht="24" customHeight="1" x14ac:dyDescent="0.35">
      <c r="A26" s="96" t="s">
        <v>289</v>
      </c>
      <c r="B26" s="97" t="s">
        <v>290</v>
      </c>
      <c r="C26" s="98" t="s">
        <v>291</v>
      </c>
    </row>
  </sheetData>
  <mergeCells count="7">
    <mergeCell ref="A20:C20"/>
    <mergeCell ref="A1:G1"/>
    <mergeCell ref="E11:G11"/>
    <mergeCell ref="A2:G2"/>
    <mergeCell ref="E4:G4"/>
    <mergeCell ref="A12:C12"/>
    <mergeCell ref="A4:C4"/>
  </mergeCells>
  <pageMargins left="0.75" right="0.75" top="1" bottom="1" header="0.511811023622047" footer="0.511811023622047"/>
  <pageSetup orientation="landscape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M33"/>
  <sheetViews>
    <sheetView showGridLines="0" zoomScaleNormal="100" workbookViewId="0">
      <selection sqref="A1:M1"/>
    </sheetView>
  </sheetViews>
  <sheetFormatPr defaultColWidth="8.6328125" defaultRowHeight="14.5" x14ac:dyDescent="0.35"/>
  <cols>
    <col min="1" max="1" width="20" customWidth="1"/>
    <col min="2" max="3" width="12" customWidth="1"/>
    <col min="4" max="6" width="14" customWidth="1"/>
    <col min="7" max="13" width="10" customWidth="1"/>
  </cols>
  <sheetData>
    <row r="1" spans="1:13" ht="37.5" customHeight="1" x14ac:dyDescent="0.35">
      <c r="A1" s="171" t="s">
        <v>305</v>
      </c>
      <c r="B1" s="161"/>
      <c r="C1" s="161"/>
      <c r="D1" s="161"/>
      <c r="E1" s="161"/>
      <c r="F1" s="161"/>
      <c r="G1" s="161"/>
      <c r="H1" s="161"/>
      <c r="I1" s="161"/>
      <c r="J1" s="161"/>
      <c r="K1" s="161"/>
      <c r="L1" s="161"/>
      <c r="M1" s="161"/>
    </row>
    <row r="2" spans="1:13" ht="13.5" customHeight="1" x14ac:dyDescent="0.35">
      <c r="A2" s="163" t="s">
        <v>306</v>
      </c>
      <c r="B2" s="161"/>
      <c r="C2" s="161"/>
      <c r="D2" s="161"/>
      <c r="E2" s="161"/>
      <c r="F2" s="161"/>
      <c r="G2" s="161"/>
      <c r="H2" s="161"/>
      <c r="I2" s="161"/>
      <c r="J2" s="161"/>
      <c r="K2" s="161"/>
      <c r="L2" s="161"/>
      <c r="M2" s="161"/>
    </row>
    <row r="3" spans="1:13" ht="7.5" customHeight="1" x14ac:dyDescent="0.35"/>
    <row r="4" spans="1:13" ht="21.75" customHeight="1" x14ac:dyDescent="0.35">
      <c r="A4" s="169" t="s">
        <v>292</v>
      </c>
      <c r="B4" s="161"/>
      <c r="C4" s="161"/>
      <c r="D4" s="190" t="s">
        <v>293</v>
      </c>
      <c r="E4" s="161"/>
      <c r="F4" s="161"/>
      <c r="G4" s="196" t="s">
        <v>294</v>
      </c>
      <c r="H4" s="161"/>
      <c r="I4" s="161"/>
      <c r="J4" s="195" t="s">
        <v>295</v>
      </c>
      <c r="K4" s="161"/>
      <c r="L4" s="161"/>
    </row>
    <row r="5" spans="1:13" ht="45.75" customHeight="1" x14ac:dyDescent="0.35">
      <c r="A5" s="187">
        <f>COUNTA('GRC Risk Register'!A6:A20)</f>
        <v>15</v>
      </c>
      <c r="B5" s="161"/>
      <c r="C5" s="161"/>
      <c r="D5" s="172">
        <f>COUNTIF('GRC Risk Register'!P6:P20,"Critical")+COUNTIF('GRC Risk Register'!P6:P20,"High")</f>
        <v>2</v>
      </c>
      <c r="E5" s="161"/>
      <c r="F5" s="161"/>
      <c r="G5" s="188">
        <f>COUNTIF('GRC Risk Register'!U6:U20,"Open")+COUNTIF('GRC Risk Register'!U6:U20,"In Progress")</f>
        <v>14</v>
      </c>
      <c r="H5" s="161"/>
      <c r="I5" s="161"/>
      <c r="J5" s="177">
        <f>ROUND(AVERAGE('GRC Risk Register'!O6:O20),1)</f>
        <v>7.4</v>
      </c>
      <c r="K5" s="161"/>
      <c r="L5" s="161"/>
    </row>
    <row r="6" spans="1:13" ht="6" customHeight="1" x14ac:dyDescent="0.35">
      <c r="A6" s="179"/>
      <c r="B6" s="161"/>
      <c r="C6" s="161"/>
      <c r="D6" s="176"/>
      <c r="E6" s="161"/>
      <c r="F6" s="161"/>
      <c r="G6" s="194"/>
      <c r="H6" s="161"/>
      <c r="I6" s="161"/>
      <c r="J6" s="192"/>
      <c r="K6" s="161"/>
      <c r="L6" s="161"/>
    </row>
    <row r="7" spans="1:13" ht="6" customHeight="1" x14ac:dyDescent="0.35">
      <c r="A7" s="183"/>
      <c r="B7" s="161"/>
      <c r="C7" s="161"/>
      <c r="D7" s="184"/>
      <c r="E7" s="161"/>
      <c r="F7" s="161"/>
      <c r="G7" s="180"/>
      <c r="H7" s="161"/>
      <c r="I7" s="161"/>
      <c r="J7" s="186"/>
      <c r="K7" s="161"/>
      <c r="L7" s="161"/>
    </row>
    <row r="8" spans="1:13" ht="21.75" customHeight="1" x14ac:dyDescent="0.35">
      <c r="A8" s="189" t="s">
        <v>296</v>
      </c>
      <c r="B8" s="161"/>
      <c r="C8" s="161"/>
      <c r="D8" s="190" t="s">
        <v>297</v>
      </c>
      <c r="E8" s="161"/>
      <c r="F8" s="161"/>
      <c r="G8" s="181" t="s">
        <v>298</v>
      </c>
      <c r="H8" s="161"/>
      <c r="I8" s="161"/>
      <c r="J8" s="175" t="s">
        <v>299</v>
      </c>
      <c r="K8" s="161"/>
      <c r="L8" s="161"/>
    </row>
    <row r="9" spans="1:13" ht="45.75" customHeight="1" x14ac:dyDescent="0.35">
      <c r="A9" s="173">
        <f>COUNTIF('GRC Risk Register'!U6:U20,"Closed")+COUNTIF('GRC Risk Register'!U6:U20,"Accepted")</f>
        <v>1</v>
      </c>
      <c r="B9" s="161"/>
      <c r="C9" s="161"/>
      <c r="D9" s="172">
        <f>SUMPRODUCT(('GRC Risk Register'!S6:S20&lt;ReportDate)*('GRC Risk Register'!S6:S20&lt;&gt;"")*('GRC Risk Register'!U6:U20&lt;&gt;"Closed")*('GRC Risk Register'!U6:U20&lt;&gt;"Accepted"))</f>
        <v>0</v>
      </c>
      <c r="E9" s="161"/>
      <c r="F9" s="161"/>
      <c r="G9" s="174">
        <f>COUNTIF('GRC Risk Register'!D6:D20,"Technology / IT")+COUNTIF('GRC Risk Register'!D6:D20,"Information Technology")+COUNTIF('GRC Risk Register'!D6:D20,"Product &amp; Engineering")</f>
        <v>7</v>
      </c>
      <c r="H9" s="161"/>
      <c r="I9" s="161"/>
      <c r="J9" s="182">
        <f>COUNTIF('GRC Risk Register'!D6:D20,"Human Resources")</f>
        <v>4</v>
      </c>
      <c r="K9" s="161"/>
      <c r="L9" s="161"/>
    </row>
    <row r="10" spans="1:13" ht="6" customHeight="1" x14ac:dyDescent="0.35">
      <c r="A10" s="170"/>
      <c r="B10" s="161"/>
      <c r="C10" s="161"/>
      <c r="D10" s="176"/>
      <c r="E10" s="161"/>
      <c r="F10" s="161"/>
      <c r="G10" s="193"/>
      <c r="H10" s="161"/>
      <c r="I10" s="161"/>
      <c r="J10" s="178"/>
      <c r="K10" s="161"/>
      <c r="L10" s="161"/>
    </row>
    <row r="11" spans="1:13" ht="6" customHeight="1" x14ac:dyDescent="0.35">
      <c r="A11" s="191"/>
      <c r="B11" s="161"/>
      <c r="C11" s="161"/>
      <c r="D11" s="184"/>
      <c r="E11" s="161"/>
      <c r="F11" s="161"/>
      <c r="G11" s="183"/>
      <c r="H11" s="161"/>
      <c r="I11" s="161"/>
      <c r="J11" s="185"/>
      <c r="K11" s="161"/>
      <c r="L11" s="161"/>
    </row>
    <row r="15" spans="1:13" ht="21.75" customHeight="1" x14ac:dyDescent="0.35">
      <c r="A15" s="160" t="s">
        <v>300</v>
      </c>
      <c r="B15" s="161"/>
      <c r="C15" s="161"/>
      <c r="D15" s="161"/>
      <c r="E15" s="161"/>
      <c r="F15" s="161"/>
    </row>
    <row r="16" spans="1:13" ht="21.75" customHeight="1" x14ac:dyDescent="0.35">
      <c r="A16" s="74" t="s">
        <v>26</v>
      </c>
      <c r="B16" s="48" t="s">
        <v>301</v>
      </c>
      <c r="C16" s="48" t="s">
        <v>281</v>
      </c>
      <c r="D16" s="48" t="s">
        <v>240</v>
      </c>
      <c r="E16" s="48" t="s">
        <v>244</v>
      </c>
      <c r="F16" s="49" t="s">
        <v>248</v>
      </c>
    </row>
    <row r="17" spans="1:6" ht="18" customHeight="1" x14ac:dyDescent="0.35">
      <c r="A17" s="104" t="s">
        <v>60</v>
      </c>
      <c r="B17" s="105">
        <f>COUNTIF('GRC Risk Register'!D6:D20,"Governance")</f>
        <v>1</v>
      </c>
      <c r="C17" s="105">
        <f>COUNTIFS('GRC Risk Register'!D6:D20,"Governance",'GRC Risk Register'!P6:P20,"Critical")</f>
        <v>0</v>
      </c>
      <c r="D17" s="105">
        <f>COUNTIFS('GRC Risk Register'!D6:D20,"Governance",'GRC Risk Register'!P6:P20,"High")</f>
        <v>0</v>
      </c>
      <c r="E17" s="105">
        <f>COUNTIFS('GRC Risk Register'!D6:D20,"Governance",'GRC Risk Register'!P6:P20,"Medium")</f>
        <v>1</v>
      </c>
      <c r="F17" s="106">
        <f>COUNTIFS('GRC Risk Register'!D6:D20,"Governance",'GRC Risk Register'!P6:P20,"Low")</f>
        <v>0</v>
      </c>
    </row>
    <row r="18" spans="1:6" ht="18" customHeight="1" x14ac:dyDescent="0.35">
      <c r="A18" s="107" t="s">
        <v>70</v>
      </c>
      <c r="B18" s="108">
        <f>COUNTIF('GRC Risk Register'!D6:D20,"Information Technology")</f>
        <v>5</v>
      </c>
      <c r="C18" s="108">
        <f>COUNTIFS('GRC Risk Register'!D6:D20,"Information Technology",'GRC Risk Register'!P6:P20,"Critical")</f>
        <v>0</v>
      </c>
      <c r="D18" s="108">
        <f>COUNTIFS('GRC Risk Register'!D6:D20,"Information Technology",'GRC Risk Register'!P6:P20,"High")</f>
        <v>0</v>
      </c>
      <c r="E18" s="108">
        <f>COUNTIFS('GRC Risk Register'!D6:D20,"Information Technology",'GRC Risk Register'!P6:P20,"Medium")</f>
        <v>4</v>
      </c>
      <c r="F18" s="109">
        <f>COUNTIFS('GRC Risk Register'!D6:D20,"Information Technology",'GRC Risk Register'!P6:P20,"Low")</f>
        <v>1</v>
      </c>
    </row>
    <row r="19" spans="1:6" ht="18" customHeight="1" x14ac:dyDescent="0.35">
      <c r="A19" s="110" t="s">
        <v>102</v>
      </c>
      <c r="B19" s="111">
        <f>COUNTIF('GRC Risk Register'!D6:D20,"Human Resources")</f>
        <v>4</v>
      </c>
      <c r="C19" s="111">
        <f>COUNTIFS('GRC Risk Register'!D6:D20,"Human Resources",'GRC Risk Register'!P6:P20,"Critical")</f>
        <v>0</v>
      </c>
      <c r="D19" s="111">
        <f>COUNTIFS('GRC Risk Register'!D6:D20,"Human Resources",'GRC Risk Register'!P6:P20,"High")</f>
        <v>1</v>
      </c>
      <c r="E19" s="111">
        <f>COUNTIFS('GRC Risk Register'!D6:D20,"Human Resources",'GRC Risk Register'!P6:P20,"Medium")</f>
        <v>2</v>
      </c>
      <c r="F19" s="112">
        <f>COUNTIFS('GRC Risk Register'!D6:D20,"Human Resources",'GRC Risk Register'!P6:P20,"Low")</f>
        <v>1</v>
      </c>
    </row>
    <row r="20" spans="1:6" ht="18" customHeight="1" x14ac:dyDescent="0.35">
      <c r="A20" s="107" t="s">
        <v>124</v>
      </c>
      <c r="B20" s="108">
        <f>COUNTIF('GRC Risk Register'!D6:D20,"Product &amp; Engineering")</f>
        <v>2</v>
      </c>
      <c r="C20" s="108">
        <f>COUNTIFS('GRC Risk Register'!D6:D20,"Product &amp; Engineering",'GRC Risk Register'!P6:P20,"Critical")</f>
        <v>0</v>
      </c>
      <c r="D20" s="108">
        <f>COUNTIFS('GRC Risk Register'!D6:D20,"Product &amp; Engineering",'GRC Risk Register'!P6:P20,"High")</f>
        <v>0</v>
      </c>
      <c r="E20" s="108">
        <f>COUNTIFS('GRC Risk Register'!D6:D20,"Product &amp; Engineering",'GRC Risk Register'!P6:P20,"Medium")</f>
        <v>1</v>
      </c>
      <c r="F20" s="109">
        <f>COUNTIFS('GRC Risk Register'!D6:D20,"Product &amp; Engineering",'GRC Risk Register'!P6:P20,"Low")</f>
        <v>1</v>
      </c>
    </row>
    <row r="21" spans="1:6" ht="18" customHeight="1" x14ac:dyDescent="0.35">
      <c r="A21" s="113" t="s">
        <v>136</v>
      </c>
      <c r="B21" s="114">
        <f>COUNTIF('GRC Risk Register'!D6:D20,"Compliance")</f>
        <v>1</v>
      </c>
      <c r="C21" s="114">
        <f>COUNTIFS('GRC Risk Register'!D6:D20,"Compliance",'GRC Risk Register'!P6:P20,"Critical")</f>
        <v>0</v>
      </c>
      <c r="D21" s="114">
        <f>COUNTIFS('GRC Risk Register'!D6:D20,"Compliance",'GRC Risk Register'!P6:P20,"High")</f>
        <v>0</v>
      </c>
      <c r="E21" s="114">
        <f>COUNTIFS('GRC Risk Register'!D6:D20,"Compliance",'GRC Risk Register'!P6:P20,"Medium")</f>
        <v>0</v>
      </c>
      <c r="F21" s="115">
        <f>COUNTIFS('GRC Risk Register'!D6:D20,"Compliance",'GRC Risk Register'!P6:P20,"Low")</f>
        <v>1</v>
      </c>
    </row>
    <row r="22" spans="1:6" ht="18" customHeight="1" x14ac:dyDescent="0.35">
      <c r="A22" s="87" t="s">
        <v>150</v>
      </c>
      <c r="B22" s="116">
        <f>COUNTIF('GRC Risk Register'!D6:D20,"Financial")</f>
        <v>1</v>
      </c>
      <c r="C22" s="116">
        <f>COUNTIFS('GRC Risk Register'!D6:D20,"Financial",'GRC Risk Register'!P6:P20,"Critical")</f>
        <v>0</v>
      </c>
      <c r="D22" s="116">
        <f>COUNTIFS('GRC Risk Register'!D6:D20,"Financial",'GRC Risk Register'!P6:P20,"High")</f>
        <v>1</v>
      </c>
      <c r="E22" s="116">
        <f>COUNTIFS('GRC Risk Register'!D6:D20,"Financial",'GRC Risk Register'!P6:P20,"Medium")</f>
        <v>0</v>
      </c>
      <c r="F22" s="117">
        <f>COUNTIFS('GRC Risk Register'!D6:D20,"Financial",'GRC Risk Register'!P6:P20,"Low")</f>
        <v>0</v>
      </c>
    </row>
    <row r="23" spans="1:6" ht="18" customHeight="1" x14ac:dyDescent="0.35">
      <c r="A23" s="118" t="s">
        <v>61</v>
      </c>
      <c r="B23" s="119">
        <f>COUNTIF('GRC Risk Register'!D6:D20,"Strategic")</f>
        <v>1</v>
      </c>
      <c r="C23" s="119">
        <f>COUNTIFS('GRC Risk Register'!D6:D20,"Strategic",'GRC Risk Register'!P6:P20,"Critical")</f>
        <v>0</v>
      </c>
      <c r="D23" s="119">
        <f>COUNTIFS('GRC Risk Register'!D6:D20,"Strategic",'GRC Risk Register'!P6:P20,"High")</f>
        <v>0</v>
      </c>
      <c r="E23" s="119">
        <f>COUNTIFS('GRC Risk Register'!D6:D20,"Strategic",'GRC Risk Register'!P6:P20,"Medium")</f>
        <v>1</v>
      </c>
      <c r="F23" s="120">
        <f>COUNTIFS('GRC Risk Register'!D6:D20,"Strategic",'GRC Risk Register'!P6:P20,"Low")</f>
        <v>0</v>
      </c>
    </row>
    <row r="26" spans="1:6" ht="21.75" customHeight="1" x14ac:dyDescent="0.35">
      <c r="A26" s="160" t="s">
        <v>302</v>
      </c>
      <c r="B26" s="161"/>
      <c r="C26" s="161"/>
      <c r="D26" s="161"/>
      <c r="E26" s="161"/>
      <c r="F26" s="161"/>
    </row>
    <row r="27" spans="1:6" ht="21.75" customHeight="1" x14ac:dyDescent="0.35">
      <c r="A27" s="74" t="s">
        <v>158</v>
      </c>
      <c r="B27" s="48" t="s">
        <v>303</v>
      </c>
      <c r="C27" s="48" t="s">
        <v>82</v>
      </c>
      <c r="D27" s="48" t="s">
        <v>66</v>
      </c>
      <c r="E27" s="48" t="s">
        <v>140</v>
      </c>
      <c r="F27" s="49" t="s">
        <v>304</v>
      </c>
    </row>
    <row r="28" spans="1:6" ht="18" customHeight="1" x14ac:dyDescent="0.35">
      <c r="A28" s="107" t="s">
        <v>193</v>
      </c>
      <c r="B28" s="108">
        <f>COUNTIF('GRC Risk Register'!E6:E20,"Chief Technology Officer (CTO)")</f>
        <v>1</v>
      </c>
      <c r="C28" s="108">
        <f>COUNTIFS('GRC Risk Register'!E6:E20,"Chief Technology Officer (CTO)",'GRC Risk Register'!U6:U20,"Open")</f>
        <v>0</v>
      </c>
      <c r="D28" s="108">
        <f>COUNTIFS('GRC Risk Register'!E6:E20,"Chief Technology Officer (CTO)",'GRC Risk Register'!U6:U20,"In Progress")</f>
        <v>1</v>
      </c>
      <c r="E28" s="108">
        <f>COUNTIFS('GRC Risk Register'!E6:E20,"Chief Technology Officer (CTO)",'GRC Risk Register'!U6:U20,"Closed")</f>
        <v>0</v>
      </c>
      <c r="F28" s="109">
        <f>IFERROR(ROUND(AVERAGEIF('GRC Risk Register'!E6:E20,"Chief Technology Officer (CTO)",'GRC Risk Register'!O6:O20),1),"-")</f>
        <v>6</v>
      </c>
    </row>
    <row r="29" spans="1:6" ht="18" customHeight="1" x14ac:dyDescent="0.35">
      <c r="A29" s="104" t="s">
        <v>194</v>
      </c>
      <c r="B29" s="105">
        <f>COUNTIF('GRC Risk Register'!E6:E20,"Chief Risk Officer (CRO)")</f>
        <v>1</v>
      </c>
      <c r="C29" s="105">
        <f>COUNTIFS('GRC Risk Register'!E6:E20,"Chief Risk Officer (CRO)",'GRC Risk Register'!U6:U20,"Open")</f>
        <v>0</v>
      </c>
      <c r="D29" s="105">
        <f>COUNTIFS('GRC Risk Register'!E6:E20,"Chief Risk Officer (CRO)",'GRC Risk Register'!U6:U20,"In Progress")</f>
        <v>1</v>
      </c>
      <c r="E29" s="105">
        <f>COUNTIFS('GRC Risk Register'!E6:E20,"Chief Risk Officer (CRO)",'GRC Risk Register'!U6:U20,"Closed")</f>
        <v>0</v>
      </c>
      <c r="F29" s="106">
        <f>IFERROR(ROUND(AVERAGEIF('GRC Risk Register'!E6:E20,"Chief Risk Officer (CRO)",'GRC Risk Register'!O6:O20),1),"-")</f>
        <v>9</v>
      </c>
    </row>
    <row r="30" spans="1:6" ht="18" customHeight="1" x14ac:dyDescent="0.35">
      <c r="A30" s="75" t="s">
        <v>195</v>
      </c>
      <c r="B30" s="121">
        <f>COUNTIF('GRC Risk Register'!E6:E20,"Chief Information Security Officer (CISO)")</f>
        <v>4</v>
      </c>
      <c r="C30" s="121">
        <f>COUNTIFS('GRC Risk Register'!E6:E20,"Chief Information Security Officer (CISO)",'GRC Risk Register'!U6:U20,"Open")</f>
        <v>3</v>
      </c>
      <c r="D30" s="121">
        <f>COUNTIFS('GRC Risk Register'!E6:E20,"Chief Information Security Officer (CISO)",'GRC Risk Register'!U6:U20,"In Progress")</f>
        <v>1</v>
      </c>
      <c r="E30" s="121">
        <f>COUNTIFS('GRC Risk Register'!E6:E20,"Chief Information Security Officer (CISO)",'GRC Risk Register'!U6:U20,"Closed")</f>
        <v>0</v>
      </c>
      <c r="F30" s="122">
        <f>IFERROR(ROUND(AVERAGEIF('GRC Risk Register'!E6:E20,"Chief Information Security Officer (CISO)",'GRC Risk Register'!O6:O20),1),"-")</f>
        <v>7</v>
      </c>
    </row>
    <row r="31" spans="1:6" ht="18" customHeight="1" x14ac:dyDescent="0.35">
      <c r="A31" s="110" t="s">
        <v>197</v>
      </c>
      <c r="B31" s="111">
        <f>COUNTIF('GRC Risk Register'!E6:E20,"Chief People Officer (CPO)")</f>
        <v>4</v>
      </c>
      <c r="C31" s="111">
        <f>COUNTIFS('GRC Risk Register'!E6:E20,"Chief People Officer (CPO)",'GRC Risk Register'!U6:U20,"Open")</f>
        <v>2</v>
      </c>
      <c r="D31" s="111">
        <f>COUNTIFS('GRC Risk Register'!E6:E20,"Chief People Officer (CPO)",'GRC Risk Register'!U6:U20,"In Progress")</f>
        <v>2</v>
      </c>
      <c r="E31" s="111">
        <f>COUNTIFS('GRC Risk Register'!E6:E20,"Chief People Officer (CPO)",'GRC Risk Register'!U6:U20,"Closed")</f>
        <v>0</v>
      </c>
      <c r="F31" s="112">
        <f>IFERROR(ROUND(AVERAGEIF('GRC Risk Register'!E6:E20,"Chief People Officer (CPO)",'GRC Risk Register'!O6:O20),1),"-")</f>
        <v>7.5</v>
      </c>
    </row>
    <row r="32" spans="1:6" ht="18" customHeight="1" x14ac:dyDescent="0.35">
      <c r="A32" s="87" t="s">
        <v>196</v>
      </c>
      <c r="B32" s="116">
        <f>COUNTIF('GRC Risk Register'!E6:E20,"Chief Financial Officer (CFO)")</f>
        <v>1</v>
      </c>
      <c r="C32" s="116">
        <f>COUNTIFS('GRC Risk Register'!E6:E20,"Chief Financial Officer (CFO)",'GRC Risk Register'!U6:U20,"Open")</f>
        <v>1</v>
      </c>
      <c r="D32" s="116">
        <f>COUNTIFS('GRC Risk Register'!E6:E20,"Chief Financial Officer (CFO)",'GRC Risk Register'!U6:U20,"In Progress")</f>
        <v>0</v>
      </c>
      <c r="E32" s="116">
        <f>COUNTIFS('GRC Risk Register'!E6:E20,"Chief Financial Officer (CFO)",'GRC Risk Register'!U6:U20,"Closed")</f>
        <v>0</v>
      </c>
      <c r="F32" s="117">
        <f>IFERROR(ROUND(AVERAGEIF('GRC Risk Register'!E6:E20,"Chief Financial Officer (CFO)",'GRC Risk Register'!O6:O20),1),"-")</f>
        <v>12</v>
      </c>
    </row>
    <row r="33" spans="1:6" ht="18" customHeight="1" x14ac:dyDescent="0.35">
      <c r="A33" s="123" t="s">
        <v>198</v>
      </c>
      <c r="B33" s="124">
        <f>COUNTIF('GRC Risk Register'!E6:E20,"Chief Compliance Officer (CCO)")</f>
        <v>1</v>
      </c>
      <c r="C33" s="124">
        <f>COUNTIFS('GRC Risk Register'!E6:E20,"Chief Compliance Officer (CCO)",'GRC Risk Register'!U6:U20,"Open")</f>
        <v>0</v>
      </c>
      <c r="D33" s="124">
        <f>COUNTIFS('GRC Risk Register'!E6:E20,"Chief Compliance Officer (CCO)",'GRC Risk Register'!U6:U20,"In Progress")</f>
        <v>0</v>
      </c>
      <c r="E33" s="124">
        <f>COUNTIFS('GRC Risk Register'!E6:E20,"Chief Compliance Officer (CCO)",'GRC Risk Register'!U6:U20,"Closed")</f>
        <v>1</v>
      </c>
      <c r="F33" s="125">
        <f>IFERROR(ROUND(AVERAGEIF('GRC Risk Register'!E6:E20,"Chief Compliance Officer (CCO)",'GRC Risk Register'!O6:O20),1),"-")</f>
        <v>4</v>
      </c>
    </row>
  </sheetData>
  <mergeCells count="36">
    <mergeCell ref="J4:L4"/>
    <mergeCell ref="D4:F4"/>
    <mergeCell ref="G4:I4"/>
    <mergeCell ref="A5:C5"/>
    <mergeCell ref="G5:I5"/>
    <mergeCell ref="A8:C8"/>
    <mergeCell ref="D9:F9"/>
    <mergeCell ref="D8:F8"/>
    <mergeCell ref="G6:I6"/>
    <mergeCell ref="D6:F6"/>
    <mergeCell ref="A26:F26"/>
    <mergeCell ref="D7:F7"/>
    <mergeCell ref="J11:L11"/>
    <mergeCell ref="J7:L7"/>
    <mergeCell ref="A15:F15"/>
    <mergeCell ref="G11:I11"/>
    <mergeCell ref="A11:C11"/>
    <mergeCell ref="J6:L6"/>
    <mergeCell ref="D11:F11"/>
    <mergeCell ref="G10:I10"/>
    <mergeCell ref="A2:M2"/>
    <mergeCell ref="A4:C4"/>
    <mergeCell ref="A10:C10"/>
    <mergeCell ref="A1:M1"/>
    <mergeCell ref="D5:F5"/>
    <mergeCell ref="A9:C9"/>
    <mergeCell ref="G9:I9"/>
    <mergeCell ref="J8:L8"/>
    <mergeCell ref="D10:F10"/>
    <mergeCell ref="J5:L5"/>
    <mergeCell ref="J10:L10"/>
    <mergeCell ref="A6:C6"/>
    <mergeCell ref="G7:I7"/>
    <mergeCell ref="G8:I8"/>
    <mergeCell ref="J9:L9"/>
    <mergeCell ref="A7:C7"/>
  </mergeCells>
  <pageMargins left="0.75" right="0.75" top="1" bottom="1" header="0.511811023622047" footer="0.511811023622047"/>
  <pageSetup orientation="landscape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1F2D3D"/>
    <pageSetUpPr fitToPage="1"/>
  </sheetPr>
  <dimension ref="A1:K27"/>
  <sheetViews>
    <sheetView zoomScaleNormal="100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D20" sqref="D20"/>
    </sheetView>
  </sheetViews>
  <sheetFormatPr defaultColWidth="8.6328125" defaultRowHeight="14.5" x14ac:dyDescent="0.35"/>
  <cols>
    <col min="1" max="1" width="10" customWidth="1"/>
    <col min="2" max="2" width="42" customWidth="1"/>
    <col min="3" max="4" width="16" customWidth="1"/>
    <col min="5" max="5" width="12" customWidth="1"/>
    <col min="6" max="6" width="16" customWidth="1"/>
    <col min="7" max="7" width="12" customWidth="1"/>
    <col min="8" max="8" width="3" customWidth="1"/>
    <col min="10" max="10" width="28" customWidth="1"/>
    <col min="11" max="11" width="14" customWidth="1"/>
  </cols>
  <sheetData>
    <row r="1" spans="1:11" ht="31.5" customHeight="1" x14ac:dyDescent="0.35">
      <c r="B1" s="202" t="s">
        <v>0</v>
      </c>
      <c r="C1" s="161"/>
      <c r="D1" s="161"/>
      <c r="E1" s="161"/>
      <c r="F1" s="161"/>
      <c r="G1" s="161"/>
    </row>
    <row r="2" spans="1:11" ht="18" customHeight="1" x14ac:dyDescent="0.35">
      <c r="B2" s="198" t="s">
        <v>308</v>
      </c>
      <c r="C2" s="161"/>
      <c r="D2" s="161"/>
      <c r="E2" s="161"/>
      <c r="F2" s="161"/>
      <c r="G2" s="161"/>
    </row>
    <row r="4" spans="1:11" ht="15.75" customHeight="1" x14ac:dyDescent="0.35">
      <c r="C4" s="199" t="s">
        <v>1</v>
      </c>
      <c r="D4" s="161"/>
      <c r="E4" s="161"/>
      <c r="F4" s="161"/>
      <c r="G4" s="161"/>
    </row>
    <row r="5" spans="1:11" ht="19.5" customHeight="1" x14ac:dyDescent="0.35">
      <c r="A5" s="201" t="s">
        <v>2</v>
      </c>
      <c r="B5" s="126" t="s">
        <v>3</v>
      </c>
      <c r="C5" s="127" t="str">
        <f t="array" ref="C5">IFERROR(_xlfn.TEXTJOIN(CHAR(10),TRUE,IF(('GRC Risk Register'!M6:M20=1)*('GRC Risk Register'!N6:N20=5),'GRC Risk Register'!A6:A20,"")),"")</f>
        <v>TC-002</v>
      </c>
      <c r="D5" s="128" t="str">
        <f t="array" ref="D5">IFERROR(_xlfn.TEXTJOIN(CHAR(10),TRUE,IF(('GRC Risk Register'!M6:M20=2)*('GRC Risk Register'!N6:N20=5),'GRC Risk Register'!A6:A20,"")),"")</f>
        <v>TC-003</v>
      </c>
      <c r="E5" s="129" t="str">
        <f t="array" ref="E5">IFERROR(_xlfn.TEXTJOIN(CHAR(10),TRUE,IF(('GRC Risk Register'!M6:M20=3)*('GRC Risk Register'!N6:N20=5),'GRC Risk Register'!A6:A20,"")),"")</f>
        <v/>
      </c>
      <c r="F5" s="130" t="str">
        <f t="array" ref="F5">IFERROR(_xlfn.TEXTJOIN(CHAR(10),TRUE,IF(('GRC Risk Register'!M6:M20=4)*('GRC Risk Register'!N6:N20=5),'GRC Risk Register'!A6:A20,"")),"")</f>
        <v/>
      </c>
      <c r="G5" s="131" t="str">
        <f t="array" ref="G5">IFERROR(_xlfn.TEXTJOIN(CHAR(10),TRUE,IF(('GRC Risk Register'!M6:M20=5)*('GRC Risk Register'!N6:N20=5),'GRC Risk Register'!A6:A20,"")),"")</f>
        <v/>
      </c>
      <c r="J5" s="200" t="s">
        <v>4</v>
      </c>
      <c r="K5" s="161"/>
    </row>
    <row r="6" spans="1:11" ht="21.75" customHeight="1" x14ac:dyDescent="0.35">
      <c r="A6" s="161"/>
      <c r="B6" s="126" t="s">
        <v>5</v>
      </c>
      <c r="C6" s="132" t="str">
        <f t="array" ref="C6">IFERROR(_xlfn.TEXTJOIN(CHAR(10),TRUE,IF(('GRC Risk Register'!M6:M20=1)*('GRC Risk Register'!N6:N20=4),'GRC Risk Register'!A6:A20,"")),"")</f>
        <v>TC-012
TC-013</v>
      </c>
      <c r="D6" s="133" t="str">
        <f t="array" ref="D6">IFERROR(_xlfn.TEXTJOIN(CHAR(10),TRUE,IF(('GRC Risk Register'!M6:M20=2)*('GRC Risk Register'!N6:N20=4),'GRC Risk Register'!A6:A20,"")),"")</f>
        <v>TC-004
TC-005</v>
      </c>
      <c r="E6" s="128" t="str">
        <f t="array" ref="E6">IFERROR(_xlfn.TEXTJOIN(CHAR(10),TRUE,IF(('GRC Risk Register'!M6:M20=3)*('GRC Risk Register'!N6:N20=4),'GRC Risk Register'!A6:A20,"")),"")</f>
        <v>TC-007
TC-015</v>
      </c>
      <c r="F6" s="129" t="str">
        <f t="array" ref="F6">IFERROR(_xlfn.TEXTJOIN(CHAR(10),TRUE,IF(('GRC Risk Register'!M6:M20=4)*('GRC Risk Register'!N6:N20=4),'GRC Risk Register'!A6:A20,"")),"")</f>
        <v/>
      </c>
      <c r="G6" s="130" t="str">
        <f t="array" ref="G6">IFERROR(_xlfn.TEXTJOIN(CHAR(10),TRUE,IF(('GRC Risk Register'!M6:M20=5)*('GRC Risk Register'!N6:N20=4),'GRC Risk Register'!A6:A20,"")),"")</f>
        <v/>
      </c>
      <c r="J6" s="134" t="s">
        <v>6</v>
      </c>
      <c r="K6" s="135" t="s">
        <v>7</v>
      </c>
    </row>
    <row r="7" spans="1:11" ht="15.75" customHeight="1" x14ac:dyDescent="0.35">
      <c r="A7" s="161"/>
      <c r="B7" s="126" t="s">
        <v>8</v>
      </c>
      <c r="C7" s="136" t="str">
        <f t="array" ref="C7">IFERROR(_xlfn.TEXTJOIN(CHAR(10),TRUE,IF(('GRC Risk Register'!M6:M20=1)*('GRC Risk Register'!N6:N20=3),'GRC Risk Register'!A6:A20,"")),"")</f>
        <v>TC-010</v>
      </c>
      <c r="D7" s="137" t="str">
        <f t="array" ref="D7">IFERROR(_xlfn.TEXTJOIN(CHAR(10),TRUE,IF(('GRC Risk Register'!M6:M20=2)*('GRC Risk Register'!N6:N20=3),'GRC Risk Register'!A6:A20,"")),"")</f>
        <v>TC-006
TC-009
TC-011</v>
      </c>
      <c r="E7" s="132" t="str">
        <f t="array" ref="E7">IFERROR(_xlfn.TEXTJOIN(CHAR(10),TRUE,IF(('GRC Risk Register'!M6:M20=3)*('GRC Risk Register'!N6:N20=3),'GRC Risk Register'!A6:A20,"")),"")</f>
        <v>TC-001
TC-008
TC-014</v>
      </c>
      <c r="F7" s="138" t="str">
        <f t="array" ref="F7">IFERROR(_xlfn.TEXTJOIN(CHAR(10),TRUE,IF(('GRC Risk Register'!M6:M20=4)*('GRC Risk Register'!N6:N20=3),'GRC Risk Register'!A6:A20,"")),"")</f>
        <v/>
      </c>
      <c r="G7" s="139" t="str">
        <f t="array" ref="G7">IFERROR(_xlfn.TEXTJOIN(CHAR(10),TRUE,IF(('GRC Risk Register'!M6:M20=5)*('GRC Risk Register'!N6:N20=3),'GRC Risk Register'!A6:A20,"")),"")</f>
        <v/>
      </c>
      <c r="K7" s="140" t="s">
        <v>9</v>
      </c>
    </row>
    <row r="8" spans="1:11" ht="21.75" customHeight="1" x14ac:dyDescent="0.35">
      <c r="A8" s="161"/>
      <c r="B8" s="126" t="s">
        <v>10</v>
      </c>
      <c r="C8" s="141" t="str">
        <f t="array" ref="C8">IFERROR(_xlfn.TEXTJOIN(CHAR(10),TRUE,IF(('GRC Risk Register'!M6:M20=1)*('GRC Risk Register'!N6:N20=2),'GRC Risk Register'!A6:A20,"")),"")</f>
        <v/>
      </c>
      <c r="D8" s="142" t="str">
        <f t="array" ref="D8">IFERROR(_xlfn.TEXTJOIN(CHAR(10),TRUE,IF(('GRC Risk Register'!M6:M20=2)*('GRC Risk Register'!N6:N20=2),'GRC Risk Register'!A6:A20,"")),"")</f>
        <v/>
      </c>
      <c r="E8" s="143" t="str">
        <f t="array" ref="E8">IFERROR(_xlfn.TEXTJOIN(CHAR(10),TRUE,IF(('GRC Risk Register'!M6:M20=3)*('GRC Risk Register'!N6:N20=2),'GRC Risk Register'!A6:A20,"")),"")</f>
        <v/>
      </c>
      <c r="F8" s="144" t="str">
        <f t="array" ref="F8">IFERROR(_xlfn.TEXTJOIN(CHAR(10),TRUE,IF(('GRC Risk Register'!M6:M20=4)*('GRC Risk Register'!N6:N20=2),'GRC Risk Register'!A6:A20,"")),"")</f>
        <v/>
      </c>
      <c r="G8" s="138" t="str">
        <f t="array" ref="G8">IFERROR(_xlfn.TEXTJOIN(CHAR(10),TRUE,IF(('GRC Risk Register'!M6:M20=5)*('GRC Risk Register'!N6:N20=2),'GRC Risk Register'!A6:A20,"")),"")</f>
        <v/>
      </c>
      <c r="J8" s="145" t="s">
        <v>11</v>
      </c>
      <c r="K8" s="135" t="s">
        <v>12</v>
      </c>
    </row>
    <row r="9" spans="1:11" ht="15.75" customHeight="1" x14ac:dyDescent="0.35">
      <c r="A9" s="161"/>
      <c r="B9" s="126" t="s">
        <v>13</v>
      </c>
      <c r="C9" s="146" t="str">
        <f t="array" ref="C9">IFERROR(_xlfn.TEXTJOIN(CHAR(10),TRUE,IF(('GRC Risk Register'!M6:M20=1)*('GRC Risk Register'!N6:N20=1),'GRC Risk Register'!A6:A20,"")),"")</f>
        <v/>
      </c>
      <c r="D9" s="141" t="str">
        <f t="array" ref="D9">IFERROR(_xlfn.TEXTJOIN(CHAR(10),TRUE,IF(('GRC Risk Register'!M6:M20=2)*('GRC Risk Register'!N6:N20=1),'GRC Risk Register'!A6:A20,"")),"")</f>
        <v/>
      </c>
      <c r="E9" s="142" t="str">
        <f t="array" ref="E9">IFERROR(_xlfn.TEXTJOIN(CHAR(10),TRUE,IF(('GRC Risk Register'!M6:M20=3)*('GRC Risk Register'!N6:N20=1),'GRC Risk Register'!A6:A20,"")),"")</f>
        <v/>
      </c>
      <c r="F9" s="143" t="str">
        <f t="array" ref="F9">IFERROR(_xlfn.TEXTJOIN(CHAR(10),TRUE,IF(('GRC Risk Register'!M6:M20=4)*('GRC Risk Register'!N6:N20=1),'GRC Risk Register'!A6:A20,"")),"")</f>
        <v/>
      </c>
      <c r="G9" s="144" t="str">
        <f t="array" ref="G9">IFERROR(_xlfn.TEXTJOIN(CHAR(10),TRUE,IF(('GRC Risk Register'!M6:M20=5)*('GRC Risk Register'!N6:N20=1),'GRC Risk Register'!A6:A20,"")),"")</f>
        <v/>
      </c>
      <c r="K9" s="140" t="s">
        <v>14</v>
      </c>
    </row>
    <row r="10" spans="1:11" ht="21.75" customHeight="1" x14ac:dyDescent="0.35">
      <c r="C10" s="147" t="s">
        <v>15</v>
      </c>
      <c r="D10" s="147" t="s">
        <v>16</v>
      </c>
      <c r="E10" s="147" t="s">
        <v>17</v>
      </c>
      <c r="F10" s="147" t="s">
        <v>18</v>
      </c>
      <c r="G10" s="147" t="s">
        <v>19</v>
      </c>
      <c r="J10" s="148" t="s">
        <v>20</v>
      </c>
      <c r="K10" s="135" t="s">
        <v>21</v>
      </c>
    </row>
    <row r="11" spans="1:11" ht="9.75" customHeight="1" x14ac:dyDescent="0.35">
      <c r="A11" s="197" t="s">
        <v>22</v>
      </c>
      <c r="B11" s="161"/>
      <c r="C11" s="161"/>
      <c r="D11" s="161"/>
      <c r="E11" s="161"/>
      <c r="F11" s="161"/>
      <c r="G11" s="161"/>
      <c r="K11" s="140" t="s">
        <v>23</v>
      </c>
    </row>
    <row r="12" spans="1:11" ht="18" customHeight="1" x14ac:dyDescent="0.35">
      <c r="A12" s="149" t="s">
        <v>24</v>
      </c>
      <c r="B12" s="149" t="s">
        <v>25</v>
      </c>
      <c r="C12" s="149" t="s">
        <v>26</v>
      </c>
      <c r="D12" s="149" t="s">
        <v>27</v>
      </c>
      <c r="E12" s="149" t="s">
        <v>28</v>
      </c>
      <c r="F12" s="149" t="s">
        <v>29</v>
      </c>
      <c r="G12" s="149" t="s">
        <v>30</v>
      </c>
    </row>
    <row r="13" spans="1:11" ht="15" customHeight="1" x14ac:dyDescent="0.35">
      <c r="A13" s="150" t="str">
        <f>'GRC Risk Register'!A6</f>
        <v>TC-001</v>
      </c>
      <c r="B13" s="151" t="str">
        <f>'GRC Risk Register'!B6</f>
        <v>Inadequate Enterprise Risk Governance</v>
      </c>
      <c r="C13" s="150" t="str">
        <f>'GRC Risk Register'!D6</f>
        <v>Governance</v>
      </c>
      <c r="D13" s="150">
        <f>'GRC Risk Register'!M6</f>
        <v>3</v>
      </c>
      <c r="E13" s="150">
        <f>'GRC Risk Register'!N6</f>
        <v>3</v>
      </c>
      <c r="F13" s="150">
        <f>'GRC Risk Register'!O6</f>
        <v>9</v>
      </c>
      <c r="G13" s="152" t="str">
        <f>'GRC Risk Register'!P6</f>
        <v>Medium</v>
      </c>
    </row>
    <row r="14" spans="1:11" ht="15" customHeight="1" x14ac:dyDescent="0.35">
      <c r="A14" s="153" t="str">
        <f>'GRC Risk Register'!A7</f>
        <v>TC-002</v>
      </c>
      <c r="B14" s="154" t="str">
        <f>'GRC Risk Register'!B7</f>
        <v>Cloud Infrastructure Failure</v>
      </c>
      <c r="C14" s="153" t="str">
        <f>'GRC Risk Register'!D7</f>
        <v>Information Technology</v>
      </c>
      <c r="D14" s="153">
        <f>'GRC Risk Register'!M7</f>
        <v>1</v>
      </c>
      <c r="E14" s="153">
        <f>'GRC Risk Register'!N7</f>
        <v>5</v>
      </c>
      <c r="F14" s="153">
        <f>'GRC Risk Register'!O7</f>
        <v>5</v>
      </c>
      <c r="G14" s="152" t="str">
        <f>'GRC Risk Register'!P7</f>
        <v>Low</v>
      </c>
    </row>
    <row r="15" spans="1:11" ht="15" customHeight="1" x14ac:dyDescent="0.35">
      <c r="A15" s="150" t="str">
        <f>'GRC Risk Register'!A8</f>
        <v>TC-003</v>
      </c>
      <c r="B15" s="151" t="str">
        <f>'GRC Risk Register'!B8</f>
        <v>Software Supply Chain Attack</v>
      </c>
      <c r="C15" s="150" t="str">
        <f>'GRC Risk Register'!D8</f>
        <v>Information Technology</v>
      </c>
      <c r="D15" s="150">
        <f>'GRC Risk Register'!M8</f>
        <v>2</v>
      </c>
      <c r="E15" s="150">
        <f>'GRC Risk Register'!N8</f>
        <v>5</v>
      </c>
      <c r="F15" s="150">
        <f>'GRC Risk Register'!O8</f>
        <v>10</v>
      </c>
      <c r="G15" s="155" t="str">
        <f>'GRC Risk Register'!P8</f>
        <v>Medium</v>
      </c>
    </row>
    <row r="16" spans="1:11" ht="15" customHeight="1" x14ac:dyDescent="0.35">
      <c r="A16" s="153" t="str">
        <f>'GRC Risk Register'!A9</f>
        <v>TC-004</v>
      </c>
      <c r="B16" s="154" t="str">
        <f>'GRC Risk Register'!B9</f>
        <v>Zero-Day Vulnerability Exploitation</v>
      </c>
      <c r="C16" s="153" t="str">
        <f>'GRC Risk Register'!D9</f>
        <v>Information Technology</v>
      </c>
      <c r="D16" s="153">
        <f>'GRC Risk Register'!M9</f>
        <v>2</v>
      </c>
      <c r="E16" s="153">
        <f>'GRC Risk Register'!N9</f>
        <v>4</v>
      </c>
      <c r="F16" s="153">
        <f>'GRC Risk Register'!O9</f>
        <v>8</v>
      </c>
      <c r="G16" s="152" t="str">
        <f>'GRC Risk Register'!P9</f>
        <v>Medium</v>
      </c>
    </row>
    <row r="17" spans="1:7" ht="15" customHeight="1" x14ac:dyDescent="0.35">
      <c r="A17" s="150" t="str">
        <f>'GRC Risk Register'!A10</f>
        <v>TC-005</v>
      </c>
      <c r="B17" s="151" t="str">
        <f>'GRC Risk Register'!B10</f>
        <v>Customer Data Breach (GDPR/CCPA)</v>
      </c>
      <c r="C17" s="150" t="str">
        <f>'GRC Risk Register'!D10</f>
        <v>Information Technology</v>
      </c>
      <c r="D17" s="150">
        <f>'GRC Risk Register'!M10</f>
        <v>2</v>
      </c>
      <c r="E17" s="150">
        <f>'GRC Risk Register'!N10</f>
        <v>4</v>
      </c>
      <c r="F17" s="150">
        <f>'GRC Risk Register'!O10</f>
        <v>8</v>
      </c>
      <c r="G17" s="152" t="str">
        <f>'GRC Risk Register'!P10</f>
        <v>Medium</v>
      </c>
    </row>
    <row r="18" spans="1:7" ht="15" customHeight="1" x14ac:dyDescent="0.35">
      <c r="A18" s="153" t="str">
        <f>'GRC Risk Register'!A11</f>
        <v>TC-006</v>
      </c>
      <c r="B18" s="154" t="str">
        <f>'GRC Risk Register'!B11</f>
        <v>Privileged Access &amp; Insider Threat</v>
      </c>
      <c r="C18" s="153" t="str">
        <f>'GRC Risk Register'!D11</f>
        <v>Information Technology</v>
      </c>
      <c r="D18" s="153">
        <f>'GRC Risk Register'!M11</f>
        <v>2</v>
      </c>
      <c r="E18" s="153">
        <f>'GRC Risk Register'!N11</f>
        <v>3</v>
      </c>
      <c r="F18" s="153">
        <f>'GRC Risk Register'!O11</f>
        <v>6</v>
      </c>
      <c r="G18" s="152" t="str">
        <f>'GRC Risk Register'!P11</f>
        <v>Medium</v>
      </c>
    </row>
    <row r="19" spans="1:7" ht="15" customHeight="1" x14ac:dyDescent="0.35">
      <c r="A19" s="150" t="str">
        <f>'GRC Risk Register'!A12</f>
        <v>TC-007</v>
      </c>
      <c r="B19" s="151" t="str">
        <f>'GRC Risk Register'!B12</f>
        <v>Developer Talent Attrition</v>
      </c>
      <c r="C19" s="150" t="str">
        <f>'GRC Risk Register'!D12</f>
        <v>Human Resources</v>
      </c>
      <c r="D19" s="150">
        <f>'GRC Risk Register'!M12</f>
        <v>3</v>
      </c>
      <c r="E19" s="150">
        <f>'GRC Risk Register'!N12</f>
        <v>4</v>
      </c>
      <c r="F19" s="150">
        <f>'GRC Risk Register'!O12</f>
        <v>12</v>
      </c>
      <c r="G19" s="155" t="str">
        <f>'GRC Risk Register'!P12</f>
        <v>High</v>
      </c>
    </row>
    <row r="20" spans="1:7" ht="15" customHeight="1" x14ac:dyDescent="0.35">
      <c r="A20" s="153" t="str">
        <f>'GRC Risk Register'!A13</f>
        <v>TC-008</v>
      </c>
      <c r="B20" s="154" t="str">
        <f>'GRC Risk Register'!B13</f>
        <v>AI / ML Skills Gap</v>
      </c>
      <c r="C20" s="153" t="str">
        <f>'GRC Risk Register'!D13</f>
        <v>Human Resources</v>
      </c>
      <c r="D20" s="153">
        <f>'GRC Risk Register'!M13</f>
        <v>3</v>
      </c>
      <c r="E20" s="153">
        <f>'GRC Risk Register'!N13</f>
        <v>3</v>
      </c>
      <c r="F20" s="153">
        <f>'GRC Risk Register'!O13</f>
        <v>9</v>
      </c>
      <c r="G20" s="152" t="str">
        <f>'GRC Risk Register'!P13</f>
        <v>Medium</v>
      </c>
    </row>
    <row r="21" spans="1:7" ht="15" customHeight="1" x14ac:dyDescent="0.35">
      <c r="A21" s="150" t="str">
        <f>'GRC Risk Register'!A14</f>
        <v>TC-009</v>
      </c>
      <c r="B21" s="151" t="str">
        <f>'GRC Risk Register'!B14</f>
        <v>Remote Work Security &amp; Culture Risk</v>
      </c>
      <c r="C21" s="150" t="str">
        <f>'GRC Risk Register'!D14</f>
        <v>Human Resources</v>
      </c>
      <c r="D21" s="150">
        <f>'GRC Risk Register'!M14</f>
        <v>2</v>
      </c>
      <c r="E21" s="150">
        <f>'GRC Risk Register'!N14</f>
        <v>3</v>
      </c>
      <c r="F21" s="150">
        <f>'GRC Risk Register'!O14</f>
        <v>6</v>
      </c>
      <c r="G21" s="152" t="str">
        <f>'GRC Risk Register'!P14</f>
        <v>Medium</v>
      </c>
    </row>
    <row r="22" spans="1:7" ht="15" customHeight="1" x14ac:dyDescent="0.35">
      <c r="A22" s="153" t="str">
        <f>'GRC Risk Register'!A15</f>
        <v>TC-010</v>
      </c>
      <c r="B22" s="154" t="str">
        <f>'GRC Risk Register'!B15</f>
        <v>Diversity, Equity &amp; Inclusion (DEI) Compliance</v>
      </c>
      <c r="C22" s="153" t="str">
        <f>'GRC Risk Register'!D15</f>
        <v>Human Resources</v>
      </c>
      <c r="D22" s="153">
        <f>'GRC Risk Register'!M15</f>
        <v>1</v>
      </c>
      <c r="E22" s="153">
        <f>'GRC Risk Register'!N15</f>
        <v>3</v>
      </c>
      <c r="F22" s="153">
        <f>'GRC Risk Register'!O15</f>
        <v>3</v>
      </c>
      <c r="G22" s="156" t="str">
        <f>'GRC Risk Register'!P15</f>
        <v>Low</v>
      </c>
    </row>
    <row r="23" spans="1:7" ht="15" customHeight="1" x14ac:dyDescent="0.35">
      <c r="A23" s="150" t="str">
        <f>'GRC Risk Register'!A16</f>
        <v>TC-011</v>
      </c>
      <c r="B23" s="151" t="str">
        <f>'GRC Risk Register'!B16</f>
        <v>Critical Product Defect / Outage</v>
      </c>
      <c r="C23" s="150" t="str">
        <f>'GRC Risk Register'!D16</f>
        <v>Product &amp; Engineering</v>
      </c>
      <c r="D23" s="150">
        <f>'GRC Risk Register'!M16</f>
        <v>2</v>
      </c>
      <c r="E23" s="150">
        <f>'GRC Risk Register'!N16</f>
        <v>3</v>
      </c>
      <c r="F23" s="150">
        <f>'GRC Risk Register'!O16</f>
        <v>6</v>
      </c>
      <c r="G23" s="152" t="str">
        <f>'GRC Risk Register'!P16</f>
        <v>Medium</v>
      </c>
    </row>
    <row r="24" spans="1:7" ht="15" customHeight="1" x14ac:dyDescent="0.35">
      <c r="A24" s="153" t="str">
        <f>'GRC Risk Register'!A17</f>
        <v>TC-012</v>
      </c>
      <c r="B24" s="154" t="str">
        <f>'GRC Risk Register'!B17</f>
        <v>Intellectual Property Theft</v>
      </c>
      <c r="C24" s="153" t="str">
        <f>'GRC Risk Register'!D17</f>
        <v>Product &amp; Engineering</v>
      </c>
      <c r="D24" s="153">
        <f>'GRC Risk Register'!M17</f>
        <v>1</v>
      </c>
      <c r="E24" s="153">
        <f>'GRC Risk Register'!N17</f>
        <v>4</v>
      </c>
      <c r="F24" s="153">
        <f>'GRC Risk Register'!O17</f>
        <v>4</v>
      </c>
      <c r="G24" s="156" t="str">
        <f>'GRC Risk Register'!P17</f>
        <v>Low</v>
      </c>
    </row>
    <row r="25" spans="1:7" ht="15" customHeight="1" x14ac:dyDescent="0.35">
      <c r="A25" s="150" t="str">
        <f>'GRC Risk Register'!A18</f>
        <v>TC-013</v>
      </c>
      <c r="B25" s="151" t="str">
        <f>'GRC Risk Register'!B18</f>
        <v>SOC 2 / ISO 27001 Certification Lapse</v>
      </c>
      <c r="C25" s="150" t="str">
        <f>'GRC Risk Register'!D18</f>
        <v>Compliance</v>
      </c>
      <c r="D25" s="150">
        <f>'GRC Risk Register'!M18</f>
        <v>1</v>
      </c>
      <c r="E25" s="150">
        <f>'GRC Risk Register'!N18</f>
        <v>4</v>
      </c>
      <c r="F25" s="150">
        <f>'GRC Risk Register'!O18</f>
        <v>4</v>
      </c>
      <c r="G25" s="156" t="str">
        <f>'GRC Risk Register'!P18</f>
        <v>Low</v>
      </c>
    </row>
    <row r="26" spans="1:7" ht="15" customHeight="1" x14ac:dyDescent="0.35">
      <c r="A26" s="153" t="str">
        <f>'GRC Risk Register'!A19</f>
        <v>TC-014</v>
      </c>
      <c r="B26" s="154" t="str">
        <f>'GRC Risk Register'!B19</f>
        <v>Disruptive Competitor / Technology Obsolescence</v>
      </c>
      <c r="C26" s="153" t="str">
        <f>'GRC Risk Register'!D19</f>
        <v>Strategic</v>
      </c>
      <c r="D26" s="153">
        <f>'GRC Risk Register'!M19</f>
        <v>3</v>
      </c>
      <c r="E26" s="153">
        <f>'GRC Risk Register'!N19</f>
        <v>3</v>
      </c>
      <c r="F26" s="153">
        <f>'GRC Risk Register'!O19</f>
        <v>9</v>
      </c>
      <c r="G26" s="152" t="str">
        <f>'GRC Risk Register'!P19</f>
        <v>Medium</v>
      </c>
    </row>
    <row r="27" spans="1:7" ht="15" customHeight="1" x14ac:dyDescent="0.35">
      <c r="A27" s="150" t="str">
        <f>'GRC Risk Register'!A20</f>
        <v>TC-015</v>
      </c>
      <c r="B27" s="151" t="str">
        <f>'GRC Risk Register'!B20</f>
        <v>Revenue Concentration Risk</v>
      </c>
      <c r="C27" s="150" t="str">
        <f>'GRC Risk Register'!D20</f>
        <v>Financial</v>
      </c>
      <c r="D27" s="150">
        <f>'GRC Risk Register'!M20</f>
        <v>3</v>
      </c>
      <c r="E27" s="150">
        <f>'GRC Risk Register'!N20</f>
        <v>4</v>
      </c>
      <c r="F27" s="150">
        <f>'GRC Risk Register'!O20</f>
        <v>12</v>
      </c>
      <c r="G27" s="155" t="str">
        <f>'GRC Risk Register'!P20</f>
        <v>High</v>
      </c>
    </row>
  </sheetData>
  <mergeCells count="6">
    <mergeCell ref="B1:G1"/>
    <mergeCell ref="A11:G11"/>
    <mergeCell ref="B2:G2"/>
    <mergeCell ref="C4:G4"/>
    <mergeCell ref="J5:K5"/>
    <mergeCell ref="A5:A9"/>
  </mergeCells>
  <conditionalFormatting sqref="G13:G27">
    <cfRule type="cellIs" dxfId="3" priority="2" operator="equal">
      <formula>"High"</formula>
    </cfRule>
    <cfRule type="cellIs" dxfId="2" priority="3" operator="equal">
      <formula>"Critical"</formula>
    </cfRule>
    <cfRule type="cellIs" dxfId="1" priority="4" operator="equal">
      <formula>"Medium"</formula>
    </cfRule>
    <cfRule type="cellIs" dxfId="0" priority="5" operator="equal">
      <formula>"Low"</formula>
    </cfRule>
  </conditionalFormatting>
  <pageMargins left="0.75" right="0.75" top="1" bottom="1" header="0.511811023622047" footer="0.511811023622047"/>
  <pageSetup orientation="landscape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</vt:i4>
      </vt:variant>
    </vt:vector>
  </HeadingPairs>
  <TitlesOfParts>
    <vt:vector size="6" baseType="lpstr">
      <vt:lpstr>GRC Risk Register</vt:lpstr>
      <vt:lpstr>Roles &amp; Responsibilities</vt:lpstr>
      <vt:lpstr>Scoring Methodology</vt:lpstr>
      <vt:lpstr>Executive Dashboard</vt:lpstr>
      <vt:lpstr>Heat Map</vt:lpstr>
      <vt:lpstr>'GRC Risk Register'!Print_Titles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Julius Agyemang</dc:creator>
  <cp:lastModifiedBy>J A</cp:lastModifiedBy>
  <cp:revision>0</cp:revision>
  <dcterms:created xsi:type="dcterms:W3CDTF">2026-04-07T04:24:59Z</dcterms:created>
  <dcterms:modified xsi:type="dcterms:W3CDTF">2026-09-23T06:32:17Z</dcterms:modified>
  <dc:language>en-US</dc:language>
</cp:coreProperties>
</file>